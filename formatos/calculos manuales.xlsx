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Jeremiah Abraham\Desktop\qc_app\formatos\"/>
    </mc:Choice>
  </mc:AlternateContent>
  <xr:revisionPtr revIDLastSave="0" documentId="13_ncr:2001_{FD964F99-E2DF-42FA-824D-ACA97556F96D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Electrico" sheetId="1" r:id="rId1"/>
    <sheet name="Optico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35" i="2" l="1"/>
  <c r="AN35" i="2"/>
  <c r="AI35" i="2"/>
  <c r="AE35" i="2"/>
  <c r="Z35" i="2"/>
  <c r="V35" i="2"/>
  <c r="Q35" i="2"/>
  <c r="M35" i="2"/>
  <c r="H35" i="2"/>
  <c r="D35" i="2"/>
  <c r="E75" i="1"/>
  <c r="J75" i="1"/>
  <c r="P75" i="1"/>
  <c r="U75" i="1"/>
  <c r="E78" i="1"/>
  <c r="AR37" i="2"/>
  <c r="AR36" i="2"/>
  <c r="AN37" i="2"/>
  <c r="AN36" i="2"/>
  <c r="AI37" i="2"/>
  <c r="AI36" i="2"/>
  <c r="AE37" i="2"/>
  <c r="AE36" i="2"/>
  <c r="Z37" i="2"/>
  <c r="Z36" i="2"/>
  <c r="V37" i="2"/>
  <c r="V36" i="2"/>
  <c r="Q37" i="2"/>
  <c r="Q36" i="2"/>
  <c r="M37" i="2"/>
  <c r="M36" i="2"/>
  <c r="H37" i="2"/>
  <c r="H36" i="2"/>
  <c r="D37" i="2"/>
  <c r="D36" i="2"/>
  <c r="U77" i="1"/>
  <c r="U76" i="1"/>
  <c r="P77" i="1"/>
  <c r="P76" i="1"/>
  <c r="J77" i="1"/>
  <c r="J76" i="1"/>
  <c r="E77" i="1"/>
  <c r="E76" i="1"/>
  <c r="AO11" i="2"/>
  <c r="AF11" i="2"/>
  <c r="W11" i="2"/>
  <c r="N11" i="2"/>
  <c r="AO10" i="2"/>
  <c r="AF10" i="2"/>
  <c r="W10" i="2"/>
  <c r="N10" i="2"/>
  <c r="AO9" i="2"/>
  <c r="AF9" i="2"/>
  <c r="W9" i="2"/>
  <c r="N9" i="2"/>
  <c r="AO7" i="2"/>
  <c r="AF7" i="2"/>
  <c r="W7" i="2"/>
  <c r="N7" i="2"/>
  <c r="AO6" i="2"/>
  <c r="AF6" i="2"/>
  <c r="W6" i="2"/>
  <c r="N6" i="2"/>
  <c r="AO5" i="2"/>
  <c r="AF5" i="2"/>
  <c r="W5" i="2"/>
  <c r="N5" i="2"/>
  <c r="AO4" i="2"/>
  <c r="AF4" i="2"/>
  <c r="W4" i="2"/>
  <c r="N4" i="2"/>
  <c r="AO3" i="2"/>
  <c r="AF3" i="2"/>
  <c r="W3" i="2"/>
  <c r="N3" i="2"/>
  <c r="AC2" i="2"/>
  <c r="AL2" i="2" s="1"/>
  <c r="T2" i="2"/>
  <c r="K2" i="2"/>
  <c r="U11" i="1"/>
  <c r="P11" i="1"/>
  <c r="J11" i="1"/>
  <c r="U10" i="1"/>
  <c r="P10" i="1"/>
  <c r="J10" i="1"/>
  <c r="U9" i="1"/>
  <c r="P9" i="1"/>
  <c r="J9" i="1"/>
  <c r="U7" i="1"/>
  <c r="P7" i="1"/>
  <c r="J7" i="1"/>
  <c r="U6" i="1"/>
  <c r="P6" i="1"/>
  <c r="J6" i="1"/>
  <c r="U5" i="1"/>
  <c r="P5" i="1"/>
  <c r="J5" i="1"/>
  <c r="U4" i="1"/>
  <c r="P4" i="1"/>
  <c r="J4" i="1"/>
  <c r="U3" i="1"/>
  <c r="P3" i="1"/>
  <c r="J3" i="1"/>
  <c r="R2" i="1"/>
  <c r="M2" i="1"/>
  <c r="G2" i="1"/>
</calcChain>
</file>

<file path=xl/sharedStrings.xml><?xml version="1.0" encoding="utf-8"?>
<sst xmlns="http://schemas.openxmlformats.org/spreadsheetml/2006/main" count="412" uniqueCount="42">
  <si>
    <t>Batch</t>
  </si>
  <si>
    <t>Equipment number</t>
  </si>
  <si>
    <t>Processing electronics Card</t>
  </si>
  <si>
    <t>Optical electronics Card</t>
  </si>
  <si>
    <t>Communications electronics Card</t>
  </si>
  <si>
    <t>Test date</t>
  </si>
  <si>
    <t>Test responsible</t>
  </si>
  <si>
    <t>Test Standard Operating Procedure</t>
  </si>
  <si>
    <t>Por Definer</t>
  </si>
  <si>
    <t xml:space="preserve"># Measurement </t>
  </si>
  <si>
    <t>Contact Electrode</t>
  </si>
  <si>
    <t>Frequency</t>
  </si>
  <si>
    <t>A - B</t>
  </si>
  <si>
    <t>B - C</t>
  </si>
  <si>
    <t>C - A</t>
  </si>
  <si>
    <t>Test</t>
  </si>
  <si>
    <t>Por definir</t>
  </si>
  <si>
    <t>13</t>
  </si>
  <si>
    <t>00:1E:C0:3B:F5:9D</t>
  </si>
  <si>
    <t>2026/03/19</t>
  </si>
  <si>
    <t>Marco Ramírez</t>
  </si>
  <si>
    <t>13</t>
  </si>
  <si>
    <t>00:1E:C0:3B:F5:9D</t>
  </si>
  <si>
    <t>2026/03/19</t>
  </si>
  <si>
    <t>Marco Ramírez</t>
  </si>
  <si>
    <t>Impedance</t>
  </si>
  <si>
    <t>Impedance</t>
  </si>
  <si>
    <t>Impedance</t>
  </si>
  <si>
    <t>Impedance</t>
  </si>
  <si>
    <t>Impedance</t>
  </si>
  <si>
    <t>Impedance</t>
  </si>
  <si>
    <t>Impedance</t>
  </si>
  <si>
    <t>Impedance</t>
  </si>
  <si>
    <t>Impedance</t>
  </si>
  <si>
    <t>Impedance</t>
  </si>
  <si>
    <t>Impedance</t>
  </si>
  <si>
    <t>Impedance</t>
  </si>
  <si>
    <t>Impedance</t>
  </si>
  <si>
    <t>Impedance</t>
  </si>
  <si>
    <t>promedio</t>
  </si>
  <si>
    <t>rango</t>
  </si>
  <si>
    <t xml:space="preserve">desviación estandar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</si>
</sst>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5" fontId="0" fillId="0" borderId="0" xfId="0" applyNumberFormat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5" fontId="0" fillId="0" borderId="26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0" borderId="27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" fillId="0" borderId="28" xfId="0" applyFont="1" applyBorder="1" applyAlignment="1">
      <alignment vertical="center"/>
    </xf>
    <xf numFmtId="0" fontId="0" fillId="0" borderId="28" xfId="0" applyBorder="1" applyAlignment="1">
      <alignment horizontal="center" vertical="center"/>
    </xf>
    <xf numFmtId="0" fontId="0" fillId="0" borderId="20" xfId="0" quotePrefix="1" applyBorder="1" applyAlignment="1">
      <alignment horizontal="center" vertical="center"/>
    </xf>
    <xf numFmtId="0" fontId="0" fillId="0" borderId="22" xfId="0" applyBorder="1" applyAlignment="1">
      <alignment vertical="center"/>
    </xf>
    <xf numFmtId="165" fontId="0" fillId="0" borderId="28" xfId="0" applyNumberFormat="1" applyBorder="1" applyAlignment="1">
      <alignment horizontal="center" vertical="center"/>
    </xf>
    <xf numFmtId="0" fontId="0" fillId="0" borderId="28" xfId="0" applyBorder="1" applyAlignment="1">
      <alignment vertical="center"/>
    </xf>
    <xf numFmtId="1" fontId="0" fillId="0" borderId="0" xfId="0" applyNumberFormat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176560</xdr:colOff>
      <xdr:row>84</xdr:row>
      <xdr:rowOff>9294</xdr:rowOff>
    </xdr:from>
    <xdr:to>
      <xdr:col>12</xdr:col>
      <xdr:colOff>722824</xdr:colOff>
      <xdr:row>104</xdr:row>
      <xdr:rowOff>178758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000CDA-98B5-B835-D49D-2574606A2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4097" y="15686050"/>
          <a:ext cx="9030483" cy="38865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51691</xdr:colOff>
      <xdr:row>39</xdr:row>
      <xdr:rowOff>58844</xdr:rowOff>
    </xdr:from>
    <xdr:to>
      <xdr:col>14</xdr:col>
      <xdr:colOff>59179</xdr:colOff>
      <xdr:row>60</xdr:row>
      <xdr:rowOff>32412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05BC96-9187-722A-8685-43CE36EE8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6614" y="7366229"/>
          <a:ext cx="9004950" cy="38714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78"/>
  <sheetViews>
    <sheetView tabSelected="1" topLeftCell="R68" zoomScale="173" zoomScaleNormal="100" workbookViewId="0">
      <selection activeCell="U76" sqref="U76"/>
    </sheetView>
  </sheetViews>
  <sheetFormatPr defaultColWidth="9.21875" defaultRowHeight="14.4" x14ac:dyDescent="0.3"/>
  <cols>
    <col min="1" max="1" width="5.77734375" style="1" customWidth="1"/>
    <col min="2" max="2" width="15.77734375" style="2" customWidth="1"/>
    <col min="3" max="4" width="17.21875" style="2" customWidth="1"/>
    <col min="5" max="5" width="16.88671875" style="3" customWidth="1"/>
    <col min="6" max="6" width="5.77734375" style="1" customWidth="1"/>
    <col min="7" max="7" width="15.77734375" style="2" customWidth="1"/>
    <col min="8" max="8" width="17.21875" style="2" customWidth="1"/>
    <col min="9" max="9" width="11.44140625" style="2" customWidth="1"/>
    <col min="10" max="10" width="10.5546875" style="2" customWidth="1"/>
    <col min="11" max="11" width="5.77734375" style="2" customWidth="1"/>
    <col min="12" max="12" width="5.77734375" style="1" customWidth="1"/>
    <col min="13" max="13" width="15.77734375" style="2" customWidth="1"/>
    <col min="14" max="14" width="17.21875" style="2" customWidth="1"/>
    <col min="15" max="15" width="11.44140625" style="2" customWidth="1"/>
    <col min="16" max="16" width="10.5546875" style="1" customWidth="1"/>
    <col min="17" max="17" width="5.77734375" style="1" customWidth="1"/>
    <col min="18" max="18" width="15.77734375" style="2" customWidth="1"/>
    <col min="19" max="19" width="17.21875" style="2" customWidth="1"/>
    <col min="20" max="20" width="11.44140625" style="2" customWidth="1"/>
    <col min="21" max="21" width="10.5546875" style="1" customWidth="1"/>
    <col min="22" max="22" width="5.77734375" style="1" customWidth="1"/>
    <col min="23" max="16384" width="9.21875" style="1"/>
  </cols>
  <sheetData>
    <row r="1" spans="2:21" ht="15" thickBot="1" x14ac:dyDescent="0.35"/>
    <row r="2" spans="2:21" ht="15" thickBot="1" x14ac:dyDescent="0.35">
      <c r="B2" s="56" t="s">
        <v>15</v>
      </c>
      <c r="C2" s="57"/>
      <c r="D2" s="57"/>
      <c r="E2" s="58"/>
      <c r="F2" s="34"/>
      <c r="G2" s="56" t="str">
        <f>IF(B2&lt;&gt;"",B2,"")</f>
        <v>Test</v>
      </c>
      <c r="H2" s="57"/>
      <c r="I2" s="57"/>
      <c r="J2" s="58"/>
      <c r="M2" s="56" t="str">
        <f>IF(B2&lt;&gt;"",B2,"")</f>
        <v>Test</v>
      </c>
      <c r="N2" s="57"/>
      <c r="O2" s="57"/>
      <c r="P2" s="58"/>
      <c r="Q2" s="34"/>
      <c r="R2" s="56" t="str">
        <f>IF(B2&lt;&gt;"",B2,"")</f>
        <v>Test</v>
      </c>
      <c r="S2" s="57"/>
      <c r="T2" s="57"/>
      <c r="U2" s="58"/>
    </row>
    <row r="3" spans="2:21" x14ac:dyDescent="0.3">
      <c r="B3" s="59" t="s">
        <v>0</v>
      </c>
      <c r="C3" s="60"/>
      <c r="D3" s="61"/>
      <c r="E3" s="18"/>
      <c r="F3" s="35"/>
      <c r="G3" s="59" t="s">
        <v>0</v>
      </c>
      <c r="H3" s="60"/>
      <c r="I3" s="61"/>
      <c r="J3" s="18" t="str">
        <f>IF(E3&lt;&gt;"",E3,"")</f>
        <v/>
      </c>
      <c r="K3" s="1"/>
      <c r="M3" s="59" t="s">
        <v>0</v>
      </c>
      <c r="N3" s="60"/>
      <c r="O3" s="61"/>
      <c r="P3" s="18" t="str">
        <f>IF(E3&lt;&gt;"",E3,"")</f>
        <v/>
      </c>
      <c r="Q3" s="35"/>
      <c r="R3" s="59" t="s">
        <v>0</v>
      </c>
      <c r="S3" s="60"/>
      <c r="T3" s="61"/>
      <c r="U3" s="18" t="str">
        <f>IF(E3&lt;&gt;"",E3,"")</f>
        <v/>
      </c>
    </row>
    <row r="4" spans="2:21" x14ac:dyDescent="0.3">
      <c r="B4" s="44" t="s">
        <v>1</v>
      </c>
      <c r="C4" s="45"/>
      <c r="D4" s="46"/>
      <c r="E4" s="36"/>
      <c r="F4" s="35"/>
      <c r="G4" s="44" t="s">
        <v>1</v>
      </c>
      <c r="H4" s="45"/>
      <c r="I4" s="46"/>
      <c r="J4" s="36" t="str">
        <f>IF(E4&lt;&gt;"",E4,"")</f>
        <v/>
      </c>
      <c r="K4" s="1"/>
      <c r="M4" s="44" t="s">
        <v>1</v>
      </c>
      <c r="N4" s="45"/>
      <c r="O4" s="46"/>
      <c r="P4" s="36" t="str">
        <f>IF(E4&lt;&gt;"",E4,"")</f>
        <v/>
      </c>
      <c r="Q4" s="35"/>
      <c r="R4" s="44" t="s">
        <v>1</v>
      </c>
      <c r="S4" s="45"/>
      <c r="T4" s="46"/>
      <c r="U4" s="36" t="str">
        <f>IF(E4&lt;&gt;"",E4,"")</f>
        <v/>
      </c>
    </row>
    <row r="5" spans="2:21" x14ac:dyDescent="0.3">
      <c r="B5" s="44" t="s">
        <v>2</v>
      </c>
      <c r="C5" s="45"/>
      <c r="D5" s="46"/>
      <c r="E5" s="21" t="s">
        <v>17</v>
      </c>
      <c r="F5" s="35"/>
      <c r="G5" s="44" t="s">
        <v>2</v>
      </c>
      <c r="H5" s="45"/>
      <c r="I5" s="46"/>
      <c r="J5" s="21" t="str">
        <f>IF(E5&lt;&gt;"",E5,"")</f>
        <v>13</v>
      </c>
      <c r="K5" s="1"/>
      <c r="M5" s="44" t="s">
        <v>2</v>
      </c>
      <c r="N5" s="45"/>
      <c r="O5" s="46"/>
      <c r="P5" s="21" t="str">
        <f>IF(E5&lt;&gt;"",E5,"")</f>
        <v>13</v>
      </c>
      <c r="Q5" s="35"/>
      <c r="R5" s="44" t="s">
        <v>2</v>
      </c>
      <c r="S5" s="45"/>
      <c r="T5" s="46"/>
      <c r="U5" s="21" t="str">
        <f>IF(E5&lt;&gt;"",E5,"")</f>
        <v>13</v>
      </c>
    </row>
    <row r="6" spans="2:21" x14ac:dyDescent="0.3">
      <c r="B6" s="44" t="s">
        <v>3</v>
      </c>
      <c r="C6" s="45"/>
      <c r="D6" s="46"/>
      <c r="E6" s="21"/>
      <c r="F6" s="35"/>
      <c r="G6" s="44" t="s">
        <v>3</v>
      </c>
      <c r="H6" s="45"/>
      <c r="I6" s="46"/>
      <c r="J6" s="21" t="str">
        <f>IF(E6&lt;&gt;"",E6,"")</f>
        <v/>
      </c>
      <c r="K6" s="1"/>
      <c r="M6" s="44" t="s">
        <v>3</v>
      </c>
      <c r="N6" s="45"/>
      <c r="O6" s="46"/>
      <c r="P6" s="21" t="str">
        <f>IF(E6&lt;&gt;"",E6,"")</f>
        <v/>
      </c>
      <c r="Q6" s="35"/>
      <c r="R6" s="44" t="s">
        <v>3</v>
      </c>
      <c r="S6" s="45"/>
      <c r="T6" s="46"/>
      <c r="U6" s="21" t="str">
        <f>IF(E6&lt;&gt;"",E6,"")</f>
        <v/>
      </c>
    </row>
    <row r="7" spans="2:21" ht="15" thickBot="1" x14ac:dyDescent="0.35">
      <c r="B7" s="50" t="s">
        <v>4</v>
      </c>
      <c r="C7" s="51"/>
      <c r="D7" s="52"/>
      <c r="E7" s="19" t="s">
        <v>18</v>
      </c>
      <c r="F7" s="35"/>
      <c r="G7" s="50" t="s">
        <v>4</v>
      </c>
      <c r="H7" s="51"/>
      <c r="I7" s="52"/>
      <c r="J7" s="19" t="str">
        <f>IF(E7&lt;&gt;"",E7,"")</f>
        <v>00:1E:C0:3B:F5:9D</v>
      </c>
      <c r="K7" s="1"/>
      <c r="M7" s="50" t="s">
        <v>4</v>
      </c>
      <c r="N7" s="51"/>
      <c r="O7" s="52"/>
      <c r="P7" s="19" t="str">
        <f>IF(E7&lt;&gt;"",E7,"")</f>
        <v>00:1E:C0:3B:F5:9D</v>
      </c>
      <c r="Q7" s="35"/>
      <c r="R7" s="50" t="s">
        <v>4</v>
      </c>
      <c r="S7" s="51"/>
      <c r="T7" s="52"/>
      <c r="U7" s="19" t="str">
        <f>IF(E7&lt;&gt;"",E7,"")</f>
        <v>00:1E:C0:3B:F5:9D</v>
      </c>
    </row>
    <row r="8" spans="2:21" ht="15" thickBot="1" x14ac:dyDescent="0.35">
      <c r="B8" s="4"/>
      <c r="C8" s="4"/>
      <c r="D8" s="5"/>
      <c r="G8" s="4"/>
      <c r="H8" s="4"/>
      <c r="I8" s="5"/>
      <c r="J8" s="3"/>
      <c r="M8" s="4"/>
      <c r="N8" s="4"/>
      <c r="O8" s="5"/>
      <c r="P8" s="3"/>
      <c r="R8" s="4"/>
      <c r="S8" s="4"/>
      <c r="T8" s="5"/>
      <c r="U8" s="3"/>
    </row>
    <row r="9" spans="2:21" x14ac:dyDescent="0.3">
      <c r="B9" s="59" t="s">
        <v>5</v>
      </c>
      <c r="C9" s="60"/>
      <c r="D9" s="61"/>
      <c r="E9" s="20" t="s">
        <v>19</v>
      </c>
      <c r="F9" s="38"/>
      <c r="G9" s="59" t="s">
        <v>5</v>
      </c>
      <c r="H9" s="60"/>
      <c r="I9" s="61"/>
      <c r="J9" s="18" t="str">
        <f>IF(E9&lt;&gt;"",E9,"")</f>
        <v>2026/03/19</v>
      </c>
      <c r="K9" s="6"/>
      <c r="M9" s="59" t="s">
        <v>5</v>
      </c>
      <c r="N9" s="60"/>
      <c r="O9" s="61"/>
      <c r="P9" s="18" t="str">
        <f>IF(E9&lt;&gt;"",E9,"")</f>
        <v>2026/03/19</v>
      </c>
      <c r="Q9" s="38"/>
      <c r="R9" s="59" t="s">
        <v>5</v>
      </c>
      <c r="S9" s="60"/>
      <c r="T9" s="61"/>
      <c r="U9" s="18" t="str">
        <f>IF(E9&lt;&gt;"",E9,"")</f>
        <v>2026/03/19</v>
      </c>
    </row>
    <row r="10" spans="2:21" x14ac:dyDescent="0.3">
      <c r="B10" s="44" t="s">
        <v>6</v>
      </c>
      <c r="C10" s="45"/>
      <c r="D10" s="46"/>
      <c r="E10" s="21" t="s">
        <v>20</v>
      </c>
      <c r="F10" s="35"/>
      <c r="G10" s="44" t="s">
        <v>6</v>
      </c>
      <c r="H10" s="45"/>
      <c r="I10" s="46"/>
      <c r="J10" s="21" t="str">
        <f>IF(E10&lt;&gt;"",E10,"")</f>
        <v>Marco Ramírez</v>
      </c>
      <c r="K10" s="1"/>
      <c r="M10" s="44" t="s">
        <v>6</v>
      </c>
      <c r="N10" s="45"/>
      <c r="O10" s="46"/>
      <c r="P10" s="21" t="str">
        <f>IF(E10&lt;&gt;"",E10,"")</f>
        <v>Marco Ramírez</v>
      </c>
      <c r="Q10" s="35"/>
      <c r="R10" s="44" t="s">
        <v>6</v>
      </c>
      <c r="S10" s="45"/>
      <c r="T10" s="46"/>
      <c r="U10" s="21" t="str">
        <f>IF(E10&lt;&gt;"",E10,"")</f>
        <v>Marco Ramírez</v>
      </c>
    </row>
    <row r="11" spans="2:21" ht="15" thickBot="1" x14ac:dyDescent="0.35">
      <c r="B11" s="50" t="s">
        <v>7</v>
      </c>
      <c r="C11" s="51"/>
      <c r="D11" s="52"/>
      <c r="E11" s="37" t="s">
        <v>16</v>
      </c>
      <c r="F11" s="39"/>
      <c r="G11" s="50" t="s">
        <v>7</v>
      </c>
      <c r="H11" s="51"/>
      <c r="I11" s="52"/>
      <c r="J11" s="37" t="str">
        <f>IF(E11&lt;&gt;"",E11,"")</f>
        <v>Por definir</v>
      </c>
      <c r="K11" s="1"/>
      <c r="M11" s="50" t="s">
        <v>7</v>
      </c>
      <c r="N11" s="51"/>
      <c r="O11" s="52"/>
      <c r="P11" s="37" t="str">
        <f>IF(E11&lt;&gt;"",E11,"")</f>
        <v>Por definir</v>
      </c>
      <c r="Q11" s="39"/>
      <c r="R11" s="50" t="s">
        <v>7</v>
      </c>
      <c r="S11" s="51"/>
      <c r="T11" s="52"/>
      <c r="U11" s="37" t="str">
        <f>IF(E11&lt;&gt;"",E11,"")</f>
        <v>Por definir</v>
      </c>
    </row>
    <row r="13" spans="2:21" ht="15" thickBot="1" x14ac:dyDescent="0.35"/>
    <row r="14" spans="2:21" s="2" customFormat="1" x14ac:dyDescent="0.3">
      <c r="B14" s="7" t="s">
        <v>9</v>
      </c>
      <c r="C14" s="8" t="s">
        <v>10</v>
      </c>
      <c r="D14" s="8" t="s">
        <v>11</v>
      </c>
      <c r="E14" s="9" t="s">
        <v>25</v>
      </c>
      <c r="G14" s="7" t="s">
        <v>9</v>
      </c>
      <c r="H14" s="8" t="s">
        <v>10</v>
      </c>
      <c r="I14" s="8" t="s">
        <v>11</v>
      </c>
      <c r="J14" s="9" t="s">
        <v>26</v>
      </c>
      <c r="K14" s="10"/>
      <c r="M14" s="7" t="s">
        <v>9</v>
      </c>
      <c r="N14" s="8" t="s">
        <v>10</v>
      </c>
      <c r="O14" s="8" t="s">
        <v>11</v>
      </c>
      <c r="P14" s="9" t="s">
        <v>27</v>
      </c>
      <c r="R14" s="7" t="s">
        <v>9</v>
      </c>
      <c r="S14" s="8" t="s">
        <v>10</v>
      </c>
      <c r="T14" s="8" t="s">
        <v>11</v>
      </c>
      <c r="U14" s="9" t="s">
        <v>28</v>
      </c>
    </row>
    <row r="15" spans="2:21" x14ac:dyDescent="0.3">
      <c r="B15" s="11">
        <v>1</v>
      </c>
      <c r="C15" s="12" t="s">
        <v>12</v>
      </c>
      <c r="D15" s="12">
        <v>2000</v>
      </c>
      <c r="E15" s="13">
        <v>2291559.9449140001</v>
      </c>
      <c r="G15" s="11">
        <v>1</v>
      </c>
      <c r="H15" s="12" t="s">
        <v>12</v>
      </c>
      <c r="I15" s="12">
        <v>3000</v>
      </c>
      <c r="J15" s="13">
        <v>921153.98529999994</v>
      </c>
      <c r="K15" s="14"/>
      <c r="M15" s="11">
        <v>1</v>
      </c>
      <c r="N15" s="12" t="s">
        <v>12</v>
      </c>
      <c r="O15" s="12">
        <v>4000</v>
      </c>
      <c r="P15" s="13">
        <v>456677.76630900003</v>
      </c>
      <c r="R15" s="11">
        <v>1</v>
      </c>
      <c r="S15" s="12" t="s">
        <v>12</v>
      </c>
      <c r="T15" s="12">
        <v>5000</v>
      </c>
      <c r="U15" s="13">
        <v>611416.00944199995</v>
      </c>
    </row>
    <row r="16" spans="2:21" x14ac:dyDescent="0.3">
      <c r="B16" s="11">
        <v>1</v>
      </c>
      <c r="C16" s="12" t="s">
        <v>13</v>
      </c>
      <c r="D16" s="12">
        <v>2000</v>
      </c>
      <c r="E16" s="13">
        <v>1882930.6673610001</v>
      </c>
      <c r="G16" s="11">
        <v>1</v>
      </c>
      <c r="H16" s="12" t="s">
        <v>13</v>
      </c>
      <c r="I16" s="12">
        <v>3000</v>
      </c>
      <c r="J16" s="13">
        <v>943722.14554900001</v>
      </c>
      <c r="K16" s="14"/>
      <c r="M16" s="11">
        <v>1</v>
      </c>
      <c r="N16" s="12" t="s">
        <v>13</v>
      </c>
      <c r="O16" s="12">
        <v>4000</v>
      </c>
      <c r="P16" s="13">
        <v>572721.16642599995</v>
      </c>
      <c r="R16" s="11">
        <v>1</v>
      </c>
      <c r="S16" s="12" t="s">
        <v>13</v>
      </c>
      <c r="T16" s="12">
        <v>5000</v>
      </c>
      <c r="U16" s="13">
        <v>624119.91500000004</v>
      </c>
    </row>
    <row r="17" spans="2:21" x14ac:dyDescent="0.3">
      <c r="B17" s="11">
        <v>1</v>
      </c>
      <c r="C17" s="12" t="s">
        <v>14</v>
      </c>
      <c r="D17" s="12">
        <v>2000</v>
      </c>
      <c r="E17" s="13">
        <v>2023087.6591169999</v>
      </c>
      <c r="G17" s="11">
        <v>1</v>
      </c>
      <c r="H17" s="12" t="s">
        <v>14</v>
      </c>
      <c r="I17" s="12">
        <v>3000</v>
      </c>
      <c r="J17" s="13">
        <v>952914.46134299994</v>
      </c>
      <c r="K17" s="14"/>
      <c r="M17" s="11">
        <v>1</v>
      </c>
      <c r="N17" s="12" t="s">
        <v>14</v>
      </c>
      <c r="O17" s="12">
        <v>4000</v>
      </c>
      <c r="P17" s="13">
        <v>636720.57875600003</v>
      </c>
      <c r="R17" s="11">
        <v>1</v>
      </c>
      <c r="S17" s="12" t="s">
        <v>14</v>
      </c>
      <c r="T17" s="12">
        <v>5000</v>
      </c>
      <c r="U17" s="13">
        <v>658161.67753400002</v>
      </c>
    </row>
    <row r="18" spans="2:21" x14ac:dyDescent="0.3">
      <c r="B18" s="11">
        <v>2</v>
      </c>
      <c r="C18" s="12" t="s">
        <v>12</v>
      </c>
      <c r="D18" s="12">
        <v>2000</v>
      </c>
      <c r="E18" s="13">
        <v>2181178.5804929999</v>
      </c>
      <c r="G18" s="11">
        <v>2</v>
      </c>
      <c r="H18" s="12" t="s">
        <v>12</v>
      </c>
      <c r="I18" s="12">
        <v>3000</v>
      </c>
      <c r="J18" s="13">
        <v>1040644.984822</v>
      </c>
      <c r="K18" s="14"/>
      <c r="M18" s="11">
        <v>2</v>
      </c>
      <c r="N18" s="12" t="s">
        <v>12</v>
      </c>
      <c r="O18" s="12">
        <v>4000</v>
      </c>
      <c r="P18" s="13">
        <v>327649.70004600001</v>
      </c>
      <c r="R18" s="11">
        <v>2</v>
      </c>
      <c r="S18" s="12" t="s">
        <v>12</v>
      </c>
      <c r="T18" s="12">
        <v>5000</v>
      </c>
      <c r="U18" s="13">
        <v>598107.65209600003</v>
      </c>
    </row>
    <row r="19" spans="2:21" x14ac:dyDescent="0.3">
      <c r="B19" s="11">
        <v>2</v>
      </c>
      <c r="C19" s="12" t="s">
        <v>13</v>
      </c>
      <c r="D19" s="12">
        <v>2000</v>
      </c>
      <c r="E19" s="13">
        <v>1809504.61209</v>
      </c>
      <c r="G19" s="11">
        <v>2</v>
      </c>
      <c r="H19" s="12" t="s">
        <v>13</v>
      </c>
      <c r="I19" s="12">
        <v>3000</v>
      </c>
      <c r="J19" s="13">
        <v>901444.242662</v>
      </c>
      <c r="K19" s="14"/>
      <c r="M19" s="11">
        <v>2</v>
      </c>
      <c r="N19" s="12" t="s">
        <v>13</v>
      </c>
      <c r="O19" s="12">
        <v>4000</v>
      </c>
      <c r="P19" s="13">
        <v>421036.09691399999</v>
      </c>
      <c r="R19" s="11">
        <v>2</v>
      </c>
      <c r="S19" s="12" t="s">
        <v>13</v>
      </c>
      <c r="T19" s="12">
        <v>5000</v>
      </c>
      <c r="U19" s="13">
        <v>637417.33684799995</v>
      </c>
    </row>
    <row r="20" spans="2:21" x14ac:dyDescent="0.3">
      <c r="B20" s="11">
        <v>2</v>
      </c>
      <c r="C20" s="12" t="s">
        <v>14</v>
      </c>
      <c r="D20" s="12">
        <v>2000</v>
      </c>
      <c r="E20" s="13">
        <v>2023087.6591169999</v>
      </c>
      <c r="G20" s="11">
        <v>2</v>
      </c>
      <c r="H20" s="12" t="s">
        <v>14</v>
      </c>
      <c r="I20" s="12">
        <v>3000</v>
      </c>
      <c r="J20" s="13">
        <v>925395.69914699998</v>
      </c>
      <c r="K20" s="14"/>
      <c r="M20" s="11">
        <v>2</v>
      </c>
      <c r="N20" s="12" t="s">
        <v>14</v>
      </c>
      <c r="O20" s="12">
        <v>4000</v>
      </c>
      <c r="P20" s="13">
        <v>722612.63785699999</v>
      </c>
      <c r="R20" s="11">
        <v>2</v>
      </c>
      <c r="S20" s="12" t="s">
        <v>14</v>
      </c>
      <c r="T20" s="12">
        <v>5000</v>
      </c>
      <c r="U20" s="13">
        <v>664395.39215199999</v>
      </c>
    </row>
    <row r="21" spans="2:21" x14ac:dyDescent="0.3">
      <c r="B21" s="11">
        <v>3</v>
      </c>
      <c r="C21" s="12" t="s">
        <v>12</v>
      </c>
      <c r="D21" s="12">
        <v>2000</v>
      </c>
      <c r="E21" s="13">
        <v>2181178.5804929999</v>
      </c>
      <c r="G21" s="11">
        <v>3</v>
      </c>
      <c r="H21" s="12" t="s">
        <v>12</v>
      </c>
      <c r="I21" s="12">
        <v>3000</v>
      </c>
      <c r="J21" s="13">
        <v>921153.98529999994</v>
      </c>
      <c r="K21" s="14"/>
      <c r="M21" s="11">
        <v>3</v>
      </c>
      <c r="N21" s="12" t="s">
        <v>12</v>
      </c>
      <c r="O21" s="12">
        <v>4000</v>
      </c>
      <c r="P21" s="13">
        <v>325150.90513700002</v>
      </c>
      <c r="R21" s="11">
        <v>3</v>
      </c>
      <c r="S21" s="12" t="s">
        <v>12</v>
      </c>
      <c r="T21" s="12">
        <v>5000</v>
      </c>
      <c r="U21" s="13">
        <v>624119.91500000004</v>
      </c>
    </row>
    <row r="22" spans="2:21" x14ac:dyDescent="0.3">
      <c r="B22" s="11">
        <v>3</v>
      </c>
      <c r="C22" s="12" t="s">
        <v>13</v>
      </c>
      <c r="D22" s="12">
        <v>2000</v>
      </c>
      <c r="E22" s="13">
        <v>2181178.5804929999</v>
      </c>
      <c r="G22" s="11">
        <v>3</v>
      </c>
      <c r="H22" s="12" t="s">
        <v>13</v>
      </c>
      <c r="I22" s="12">
        <v>3000</v>
      </c>
      <c r="J22" s="13">
        <v>943722.14554900001</v>
      </c>
      <c r="K22" s="14"/>
      <c r="M22" s="11">
        <v>3</v>
      </c>
      <c r="N22" s="12" t="s">
        <v>13</v>
      </c>
      <c r="O22" s="12">
        <v>4000</v>
      </c>
      <c r="P22" s="13">
        <v>510366.18745500001</v>
      </c>
      <c r="R22" s="11">
        <v>3</v>
      </c>
      <c r="S22" s="12" t="s">
        <v>13</v>
      </c>
      <c r="T22" s="12">
        <v>5000</v>
      </c>
      <c r="U22" s="13">
        <v>619583.942714</v>
      </c>
    </row>
    <row r="23" spans="2:21" x14ac:dyDescent="0.3">
      <c r="B23" s="11">
        <v>3</v>
      </c>
      <c r="C23" s="12" t="s">
        <v>14</v>
      </c>
      <c r="D23" s="12">
        <v>2000</v>
      </c>
      <c r="E23" s="13">
        <v>1882930.6673610001</v>
      </c>
      <c r="G23" s="11">
        <v>3</v>
      </c>
      <c r="H23" s="12" t="s">
        <v>14</v>
      </c>
      <c r="I23" s="12">
        <v>3000</v>
      </c>
      <c r="J23" s="13">
        <v>925395.69914699998</v>
      </c>
      <c r="K23" s="14"/>
      <c r="M23" s="11">
        <v>3</v>
      </c>
      <c r="N23" s="12" t="s">
        <v>14</v>
      </c>
      <c r="O23" s="12">
        <v>4000</v>
      </c>
      <c r="P23" s="13">
        <v>584552.62205899996</v>
      </c>
      <c r="R23" s="11">
        <v>3</v>
      </c>
      <c r="S23" s="12" t="s">
        <v>14</v>
      </c>
      <c r="T23" s="12">
        <v>5000</v>
      </c>
      <c r="U23" s="13">
        <v>648151.03061799996</v>
      </c>
    </row>
    <row r="24" spans="2:21" x14ac:dyDescent="0.3">
      <c r="B24" s="11">
        <v>4</v>
      </c>
      <c r="C24" s="12" t="s">
        <v>12</v>
      </c>
      <c r="D24" s="12">
        <v>2000</v>
      </c>
      <c r="E24" s="13">
        <v>2181178.5804929999</v>
      </c>
      <c r="G24" s="11">
        <v>4</v>
      </c>
      <c r="H24" s="12" t="s">
        <v>12</v>
      </c>
      <c r="I24" s="12">
        <v>3000</v>
      </c>
      <c r="J24" s="13">
        <v>1006926.9919969999</v>
      </c>
      <c r="K24" s="14"/>
      <c r="M24" s="11">
        <v>4</v>
      </c>
      <c r="N24" s="12" t="s">
        <v>12</v>
      </c>
      <c r="O24" s="12">
        <v>4000</v>
      </c>
      <c r="P24" s="13">
        <v>464667.92867699999</v>
      </c>
      <c r="R24" s="11">
        <v>4</v>
      </c>
      <c r="S24" s="12" t="s">
        <v>12</v>
      </c>
      <c r="T24" s="12">
        <v>5000</v>
      </c>
      <c r="U24" s="13">
        <v>674087.24682100001</v>
      </c>
    </row>
    <row r="25" spans="2:21" x14ac:dyDescent="0.3">
      <c r="B25" s="11">
        <v>4</v>
      </c>
      <c r="C25" s="12" t="s">
        <v>13</v>
      </c>
      <c r="D25" s="12">
        <v>2000</v>
      </c>
      <c r="E25" s="13">
        <v>1809504.61209</v>
      </c>
      <c r="G25" s="11">
        <v>4</v>
      </c>
      <c r="H25" s="12" t="s">
        <v>13</v>
      </c>
      <c r="I25" s="12">
        <v>3000</v>
      </c>
      <c r="J25" s="13">
        <v>898823.75966800004</v>
      </c>
      <c r="K25" s="14"/>
      <c r="M25" s="11">
        <v>4</v>
      </c>
      <c r="N25" s="12" t="s">
        <v>13</v>
      </c>
      <c r="O25" s="12">
        <v>4000</v>
      </c>
      <c r="P25" s="13">
        <v>667312.32867399999</v>
      </c>
      <c r="R25" s="11">
        <v>4</v>
      </c>
      <c r="S25" s="12" t="s">
        <v>13</v>
      </c>
      <c r="T25" s="12">
        <v>5000</v>
      </c>
      <c r="U25" s="13">
        <v>616403.85015399999</v>
      </c>
    </row>
    <row r="26" spans="2:21" x14ac:dyDescent="0.3">
      <c r="B26" s="11">
        <v>4</v>
      </c>
      <c r="C26" s="12" t="s">
        <v>14</v>
      </c>
      <c r="D26" s="12">
        <v>2000</v>
      </c>
      <c r="E26" s="13">
        <v>1809504.61209</v>
      </c>
      <c r="G26" s="11">
        <v>4</v>
      </c>
      <c r="H26" s="12" t="s">
        <v>14</v>
      </c>
      <c r="I26" s="12">
        <v>3000</v>
      </c>
      <c r="J26" s="13">
        <v>898823.75966800004</v>
      </c>
      <c r="K26" s="14"/>
      <c r="M26" s="11">
        <v>4</v>
      </c>
      <c r="N26" s="12" t="s">
        <v>14</v>
      </c>
      <c r="O26" s="12">
        <v>4000</v>
      </c>
      <c r="P26" s="13">
        <v>1660001.46129</v>
      </c>
      <c r="R26" s="11">
        <v>4</v>
      </c>
      <c r="S26" s="12" t="s">
        <v>14</v>
      </c>
      <c r="T26" s="12">
        <v>5000</v>
      </c>
      <c r="U26" s="13">
        <v>611210.80184800003</v>
      </c>
    </row>
    <row r="27" spans="2:21" x14ac:dyDescent="0.3">
      <c r="B27" s="11">
        <v>5</v>
      </c>
      <c r="C27" s="12" t="s">
        <v>12</v>
      </c>
      <c r="D27" s="12">
        <v>2000</v>
      </c>
      <c r="E27" s="13">
        <v>2023087.6591169999</v>
      </c>
      <c r="G27" s="11">
        <v>5</v>
      </c>
      <c r="H27" s="12" t="s">
        <v>12</v>
      </c>
      <c r="I27" s="12">
        <v>3000</v>
      </c>
      <c r="J27" s="13">
        <v>952914.46134299994</v>
      </c>
      <c r="K27" s="14"/>
      <c r="M27" s="11">
        <v>5</v>
      </c>
      <c r="N27" s="12" t="s">
        <v>12</v>
      </c>
      <c r="O27" s="12">
        <v>4000</v>
      </c>
      <c r="P27" s="13">
        <v>379448.84063499997</v>
      </c>
      <c r="R27" s="11">
        <v>5</v>
      </c>
      <c r="S27" s="12" t="s">
        <v>12</v>
      </c>
      <c r="T27" s="12">
        <v>5000</v>
      </c>
      <c r="U27" s="13">
        <v>658931.30751099996</v>
      </c>
    </row>
    <row r="28" spans="2:21" x14ac:dyDescent="0.3">
      <c r="B28" s="11">
        <v>5</v>
      </c>
      <c r="C28" s="12" t="s">
        <v>13</v>
      </c>
      <c r="D28" s="12">
        <v>2000</v>
      </c>
      <c r="E28" s="13">
        <v>1842307.9705999999</v>
      </c>
      <c r="G28" s="11">
        <v>5</v>
      </c>
      <c r="H28" s="12" t="s">
        <v>13</v>
      </c>
      <c r="I28" s="12">
        <v>3000</v>
      </c>
      <c r="J28" s="13">
        <v>949820.57505500002</v>
      </c>
      <c r="K28" s="14"/>
      <c r="M28" s="11">
        <v>5</v>
      </c>
      <c r="N28" s="12" t="s">
        <v>13</v>
      </c>
      <c r="O28" s="12">
        <v>4000</v>
      </c>
      <c r="P28" s="13">
        <v>426156.30246099998</v>
      </c>
      <c r="R28" s="11">
        <v>5</v>
      </c>
      <c r="S28" s="12" t="s">
        <v>13</v>
      </c>
      <c r="T28" s="12">
        <v>5000</v>
      </c>
      <c r="U28" s="13">
        <v>616403.85015399999</v>
      </c>
    </row>
    <row r="29" spans="2:21" x14ac:dyDescent="0.3">
      <c r="B29" s="11">
        <v>5</v>
      </c>
      <c r="C29" s="12" t="s">
        <v>14</v>
      </c>
      <c r="D29" s="12">
        <v>2000</v>
      </c>
      <c r="E29" s="13">
        <v>1758522.3910999999</v>
      </c>
      <c r="G29" s="11">
        <v>5</v>
      </c>
      <c r="H29" s="12" t="s">
        <v>14</v>
      </c>
      <c r="I29" s="12">
        <v>3000</v>
      </c>
      <c r="J29" s="13">
        <v>901444.242662</v>
      </c>
      <c r="K29" s="14"/>
      <c r="M29" s="11">
        <v>5</v>
      </c>
      <c r="N29" s="12" t="s">
        <v>14</v>
      </c>
      <c r="O29" s="12">
        <v>4000</v>
      </c>
      <c r="P29" s="13">
        <v>823403.24937700003</v>
      </c>
      <c r="R29" s="11">
        <v>5</v>
      </c>
      <c r="S29" s="12" t="s">
        <v>14</v>
      </c>
      <c r="T29" s="12">
        <v>5000</v>
      </c>
      <c r="U29" s="13">
        <v>624119.91500000004</v>
      </c>
    </row>
    <row r="30" spans="2:21" x14ac:dyDescent="0.3">
      <c r="B30" s="11">
        <v>6</v>
      </c>
      <c r="C30" s="12" t="s">
        <v>12</v>
      </c>
      <c r="D30" s="12">
        <v>2000</v>
      </c>
      <c r="E30" s="13">
        <v>2926358.1462289998</v>
      </c>
      <c r="G30" s="11">
        <v>6</v>
      </c>
      <c r="H30" s="12" t="s">
        <v>12</v>
      </c>
      <c r="I30" s="12">
        <v>3000</v>
      </c>
      <c r="J30" s="13">
        <v>943722.14554900001</v>
      </c>
      <c r="K30" s="14"/>
      <c r="M30" s="11">
        <v>6</v>
      </c>
      <c r="N30" s="12" t="s">
        <v>12</v>
      </c>
      <c r="O30" s="12">
        <v>4000</v>
      </c>
      <c r="P30" s="13">
        <v>689749.22979300003</v>
      </c>
      <c r="R30" s="11">
        <v>6</v>
      </c>
      <c r="S30" s="12" t="s">
        <v>12</v>
      </c>
      <c r="T30" s="12">
        <v>5000</v>
      </c>
      <c r="U30" s="13">
        <v>616403.85015399999</v>
      </c>
    </row>
    <row r="31" spans="2:21" x14ac:dyDescent="0.3">
      <c r="B31" s="11">
        <v>6</v>
      </c>
      <c r="C31" s="12" t="s">
        <v>13</v>
      </c>
      <c r="D31" s="12">
        <v>2000</v>
      </c>
      <c r="E31" s="13">
        <v>2259804.6923810001</v>
      </c>
      <c r="G31" s="11">
        <v>6</v>
      </c>
      <c r="H31" s="12" t="s">
        <v>13</v>
      </c>
      <c r="I31" s="12">
        <v>3000</v>
      </c>
      <c r="J31" s="13">
        <v>853008.65453199996</v>
      </c>
      <c r="K31" s="14"/>
      <c r="M31" s="11">
        <v>6</v>
      </c>
      <c r="N31" s="12" t="s">
        <v>13</v>
      </c>
      <c r="O31" s="12">
        <v>4000</v>
      </c>
      <c r="P31" s="13">
        <v>322467.19016900001</v>
      </c>
      <c r="R31" s="11">
        <v>6</v>
      </c>
      <c r="S31" s="12" t="s">
        <v>13</v>
      </c>
      <c r="T31" s="12">
        <v>5000</v>
      </c>
      <c r="U31" s="13">
        <v>614102.65686700004</v>
      </c>
    </row>
    <row r="32" spans="2:21" x14ac:dyDescent="0.3">
      <c r="B32" s="11">
        <v>6</v>
      </c>
      <c r="C32" s="12" t="s">
        <v>14</v>
      </c>
      <c r="D32" s="12">
        <v>2000</v>
      </c>
      <c r="E32" s="13">
        <v>1932818.264337</v>
      </c>
      <c r="G32" s="11">
        <v>6</v>
      </c>
      <c r="H32" s="12" t="s">
        <v>14</v>
      </c>
      <c r="I32" s="12">
        <v>3000</v>
      </c>
      <c r="J32" s="13">
        <v>949820.57505500002</v>
      </c>
      <c r="K32" s="14"/>
      <c r="M32" s="11">
        <v>6</v>
      </c>
      <c r="N32" s="12" t="s">
        <v>14</v>
      </c>
      <c r="O32" s="12">
        <v>4000</v>
      </c>
      <c r="P32" s="13">
        <v>385375.73316100001</v>
      </c>
      <c r="R32" s="11">
        <v>6</v>
      </c>
      <c r="S32" s="12" t="s">
        <v>14</v>
      </c>
      <c r="T32" s="12">
        <v>5000</v>
      </c>
      <c r="U32" s="13">
        <v>648886.03485699999</v>
      </c>
    </row>
    <row r="33" spans="2:21" x14ac:dyDescent="0.3">
      <c r="B33" s="11">
        <v>7</v>
      </c>
      <c r="C33" s="12" t="s">
        <v>12</v>
      </c>
      <c r="D33" s="12">
        <v>2000</v>
      </c>
      <c r="E33" s="13">
        <v>2023087.6591169999</v>
      </c>
      <c r="G33" s="11">
        <v>7</v>
      </c>
      <c r="H33" s="12" t="s">
        <v>12</v>
      </c>
      <c r="I33" s="12">
        <v>3000</v>
      </c>
      <c r="J33" s="13">
        <v>949820.57505500002</v>
      </c>
      <c r="K33" s="14"/>
      <c r="M33" s="11">
        <v>7</v>
      </c>
      <c r="N33" s="12" t="s">
        <v>12</v>
      </c>
      <c r="O33" s="12">
        <v>4000</v>
      </c>
      <c r="P33" s="13">
        <v>1055113.43466</v>
      </c>
      <c r="R33" s="11">
        <v>7</v>
      </c>
      <c r="S33" s="12" t="s">
        <v>12</v>
      </c>
      <c r="T33" s="12">
        <v>5000</v>
      </c>
      <c r="U33" s="13">
        <v>601793.12410200003</v>
      </c>
    </row>
    <row r="34" spans="2:21" x14ac:dyDescent="0.3">
      <c r="B34" s="11">
        <v>7</v>
      </c>
      <c r="C34" s="12" t="s">
        <v>13</v>
      </c>
      <c r="D34" s="12">
        <v>2000</v>
      </c>
      <c r="E34" s="13">
        <v>1734595.8015040001</v>
      </c>
      <c r="G34" s="11">
        <v>7</v>
      </c>
      <c r="H34" s="12" t="s">
        <v>13</v>
      </c>
      <c r="I34" s="12">
        <v>3000</v>
      </c>
      <c r="J34" s="13">
        <v>921153.98529999994</v>
      </c>
      <c r="K34" s="14"/>
      <c r="M34" s="11">
        <v>7</v>
      </c>
      <c r="N34" s="12" t="s">
        <v>13</v>
      </c>
      <c r="O34" s="12">
        <v>4000</v>
      </c>
      <c r="P34" s="13">
        <v>342504.314541</v>
      </c>
      <c r="R34" s="11">
        <v>7</v>
      </c>
      <c r="S34" s="12" t="s">
        <v>13</v>
      </c>
      <c r="T34" s="12">
        <v>5000</v>
      </c>
      <c r="U34" s="13">
        <v>639521.41593500006</v>
      </c>
    </row>
    <row r="35" spans="2:21" x14ac:dyDescent="0.3">
      <c r="B35" s="11">
        <v>7</v>
      </c>
      <c r="C35" s="12" t="s">
        <v>14</v>
      </c>
      <c r="D35" s="12">
        <v>2000</v>
      </c>
      <c r="E35" s="13">
        <v>2181178.5804929999</v>
      </c>
      <c r="G35" s="11">
        <v>7</v>
      </c>
      <c r="H35" s="12" t="s">
        <v>14</v>
      </c>
      <c r="I35" s="12">
        <v>3000</v>
      </c>
      <c r="J35" s="13">
        <v>901444.242662</v>
      </c>
      <c r="K35" s="14"/>
      <c r="M35" s="11">
        <v>7</v>
      </c>
      <c r="N35" s="12" t="s">
        <v>14</v>
      </c>
      <c r="O35" s="12">
        <v>4000</v>
      </c>
      <c r="P35" s="13">
        <v>406414.50971800002</v>
      </c>
      <c r="R35" s="11">
        <v>7</v>
      </c>
      <c r="S35" s="12" t="s">
        <v>14</v>
      </c>
      <c r="T35" s="12">
        <v>5000</v>
      </c>
      <c r="U35" s="13">
        <v>574756.91158800002</v>
      </c>
    </row>
    <row r="36" spans="2:21" x14ac:dyDescent="0.3">
      <c r="B36" s="11">
        <v>8</v>
      </c>
      <c r="C36" s="12" t="s">
        <v>12</v>
      </c>
      <c r="D36" s="12">
        <v>2000</v>
      </c>
      <c r="E36" s="13">
        <v>2291559.9449140001</v>
      </c>
      <c r="G36" s="11">
        <v>8</v>
      </c>
      <c r="H36" s="12" t="s">
        <v>12</v>
      </c>
      <c r="I36" s="12">
        <v>3000</v>
      </c>
      <c r="J36" s="13">
        <v>876828.93308800005</v>
      </c>
      <c r="K36" s="14"/>
      <c r="M36" s="11">
        <v>8</v>
      </c>
      <c r="N36" s="12" t="s">
        <v>12</v>
      </c>
      <c r="O36" s="12">
        <v>4000</v>
      </c>
      <c r="P36" s="13">
        <v>362927.10856800003</v>
      </c>
      <c r="R36" s="11">
        <v>8</v>
      </c>
      <c r="S36" s="12" t="s">
        <v>12</v>
      </c>
      <c r="T36" s="12">
        <v>5000</v>
      </c>
      <c r="U36" s="13">
        <v>578198.60050099995</v>
      </c>
    </row>
    <row r="37" spans="2:21" x14ac:dyDescent="0.3">
      <c r="B37" s="11">
        <v>8</v>
      </c>
      <c r="C37" s="12" t="s">
        <v>13</v>
      </c>
      <c r="D37" s="12">
        <v>2000</v>
      </c>
      <c r="E37" s="13">
        <v>1882930.6673610001</v>
      </c>
      <c r="G37" s="11">
        <v>8</v>
      </c>
      <c r="H37" s="12" t="s">
        <v>13</v>
      </c>
      <c r="I37" s="12">
        <v>3000</v>
      </c>
      <c r="J37" s="13">
        <v>925395.69914699998</v>
      </c>
      <c r="K37" s="14"/>
      <c r="M37" s="11">
        <v>8</v>
      </c>
      <c r="N37" s="12" t="s">
        <v>13</v>
      </c>
      <c r="O37" s="12">
        <v>4000</v>
      </c>
      <c r="P37" s="13">
        <v>333789.70693400002</v>
      </c>
      <c r="R37" s="11">
        <v>8</v>
      </c>
      <c r="S37" s="12" t="s">
        <v>13</v>
      </c>
      <c r="T37" s="12">
        <v>5000</v>
      </c>
      <c r="U37" s="13">
        <v>658931.30751099996</v>
      </c>
    </row>
    <row r="38" spans="2:21" x14ac:dyDescent="0.3">
      <c r="B38" s="11">
        <v>8</v>
      </c>
      <c r="C38" s="12" t="s">
        <v>14</v>
      </c>
      <c r="D38" s="12">
        <v>2000</v>
      </c>
      <c r="E38" s="13">
        <v>1932818.264337</v>
      </c>
      <c r="G38" s="11">
        <v>8</v>
      </c>
      <c r="H38" s="12" t="s">
        <v>14</v>
      </c>
      <c r="I38" s="12">
        <v>3000</v>
      </c>
      <c r="J38" s="13">
        <v>914212.25875299994</v>
      </c>
      <c r="K38" s="14"/>
      <c r="M38" s="11">
        <v>8</v>
      </c>
      <c r="N38" s="12" t="s">
        <v>14</v>
      </c>
      <c r="O38" s="12">
        <v>4000</v>
      </c>
      <c r="P38" s="13">
        <v>341533.99450799997</v>
      </c>
      <c r="R38" s="11">
        <v>8</v>
      </c>
      <c r="S38" s="12" t="s">
        <v>14</v>
      </c>
      <c r="T38" s="12">
        <v>5000</v>
      </c>
      <c r="U38" s="13">
        <v>616403.85015399999</v>
      </c>
    </row>
    <row r="39" spans="2:21" x14ac:dyDescent="0.3">
      <c r="B39" s="11">
        <v>9</v>
      </c>
      <c r="C39" s="12" t="s">
        <v>12</v>
      </c>
      <c r="D39" s="12">
        <v>2000</v>
      </c>
      <c r="E39" s="13">
        <v>2181178.5804929999</v>
      </c>
      <c r="G39" s="11">
        <v>9</v>
      </c>
      <c r="H39" s="12" t="s">
        <v>12</v>
      </c>
      <c r="I39" s="12">
        <v>3000</v>
      </c>
      <c r="J39" s="13">
        <v>914212.25875299994</v>
      </c>
      <c r="K39" s="14"/>
      <c r="M39" s="11">
        <v>9</v>
      </c>
      <c r="N39" s="12" t="s">
        <v>12</v>
      </c>
      <c r="O39" s="12">
        <v>4000</v>
      </c>
      <c r="P39" s="13">
        <v>431251.67673499999</v>
      </c>
      <c r="R39" s="11">
        <v>9</v>
      </c>
      <c r="S39" s="12" t="s">
        <v>12</v>
      </c>
      <c r="T39" s="12">
        <v>5000</v>
      </c>
      <c r="U39" s="13">
        <v>601793.12410200003</v>
      </c>
    </row>
    <row r="40" spans="2:21" x14ac:dyDescent="0.3">
      <c r="B40" s="11">
        <v>9</v>
      </c>
      <c r="C40" s="12" t="s">
        <v>13</v>
      </c>
      <c r="D40" s="12">
        <v>2000</v>
      </c>
      <c r="E40" s="13">
        <v>1698265.1617419999</v>
      </c>
      <c r="G40" s="11">
        <v>9</v>
      </c>
      <c r="H40" s="12" t="s">
        <v>13</v>
      </c>
      <c r="I40" s="12">
        <v>3000</v>
      </c>
      <c r="J40" s="13">
        <v>921153.98529999994</v>
      </c>
      <c r="K40" s="14"/>
      <c r="M40" s="11">
        <v>9</v>
      </c>
      <c r="N40" s="12" t="s">
        <v>13</v>
      </c>
      <c r="O40" s="12">
        <v>4000</v>
      </c>
      <c r="P40" s="13">
        <v>329916.31533900002</v>
      </c>
      <c r="R40" s="11">
        <v>9</v>
      </c>
      <c r="S40" s="12" t="s">
        <v>13</v>
      </c>
      <c r="T40" s="12">
        <v>5000</v>
      </c>
      <c r="U40" s="13">
        <v>654353.57414799999</v>
      </c>
    </row>
    <row r="41" spans="2:21" x14ac:dyDescent="0.3">
      <c r="B41" s="11">
        <v>9</v>
      </c>
      <c r="C41" s="12" t="s">
        <v>14</v>
      </c>
      <c r="D41" s="12">
        <v>2000</v>
      </c>
      <c r="E41" s="13">
        <v>2110226.8693200001</v>
      </c>
      <c r="G41" s="11">
        <v>9</v>
      </c>
      <c r="H41" s="12" t="s">
        <v>14</v>
      </c>
      <c r="I41" s="12">
        <v>3000</v>
      </c>
      <c r="J41" s="13">
        <v>949820.57505500002</v>
      </c>
      <c r="K41" s="14"/>
      <c r="M41" s="11">
        <v>9</v>
      </c>
      <c r="N41" s="12" t="s">
        <v>14</v>
      </c>
      <c r="O41" s="12">
        <v>4000</v>
      </c>
      <c r="P41" s="13">
        <v>350925.50832000002</v>
      </c>
      <c r="R41" s="11">
        <v>9</v>
      </c>
      <c r="S41" s="12" t="s">
        <v>14</v>
      </c>
      <c r="T41" s="12">
        <v>5000</v>
      </c>
      <c r="U41" s="13">
        <v>594866.88558899995</v>
      </c>
    </row>
    <row r="42" spans="2:21" x14ac:dyDescent="0.3">
      <c r="B42" s="11">
        <v>10</v>
      </c>
      <c r="C42" s="12" t="s">
        <v>12</v>
      </c>
      <c r="D42" s="12">
        <v>2000</v>
      </c>
      <c r="E42" s="13">
        <v>2291559.9449140001</v>
      </c>
      <c r="G42" s="11">
        <v>10</v>
      </c>
      <c r="H42" s="12" t="s">
        <v>12</v>
      </c>
      <c r="I42" s="12">
        <v>3000</v>
      </c>
      <c r="J42" s="13">
        <v>943722.14554900001</v>
      </c>
      <c r="K42" s="14"/>
      <c r="M42" s="11">
        <v>10</v>
      </c>
      <c r="N42" s="12" t="s">
        <v>12</v>
      </c>
      <c r="O42" s="12">
        <v>4000</v>
      </c>
      <c r="P42" s="13">
        <v>975452.71540999995</v>
      </c>
      <c r="R42" s="11">
        <v>10</v>
      </c>
      <c r="S42" s="12" t="s">
        <v>12</v>
      </c>
      <c r="T42" s="12">
        <v>5000</v>
      </c>
      <c r="U42" s="13">
        <v>658931.30751099996</v>
      </c>
    </row>
    <row r="43" spans="2:21" x14ac:dyDescent="0.3">
      <c r="B43" s="11">
        <v>10</v>
      </c>
      <c r="C43" s="12" t="s">
        <v>13</v>
      </c>
      <c r="D43" s="12">
        <v>2000</v>
      </c>
      <c r="E43" s="13">
        <v>1809504.61209</v>
      </c>
      <c r="G43" s="11">
        <v>10</v>
      </c>
      <c r="H43" s="12" t="s">
        <v>13</v>
      </c>
      <c r="I43" s="12">
        <v>3000</v>
      </c>
      <c r="J43" s="13">
        <v>893650.63031799998</v>
      </c>
      <c r="K43" s="14"/>
      <c r="M43" s="11">
        <v>10</v>
      </c>
      <c r="N43" s="12" t="s">
        <v>13</v>
      </c>
      <c r="O43" s="12">
        <v>4000</v>
      </c>
      <c r="P43" s="13">
        <v>318563.37155400001</v>
      </c>
      <c r="R43" s="11">
        <v>10</v>
      </c>
      <c r="S43" s="12" t="s">
        <v>13</v>
      </c>
      <c r="T43" s="12">
        <v>5000</v>
      </c>
      <c r="U43" s="13">
        <v>611416.00944199995</v>
      </c>
    </row>
    <row r="44" spans="2:21" x14ac:dyDescent="0.3">
      <c r="B44" s="11">
        <v>10</v>
      </c>
      <c r="C44" s="12" t="s">
        <v>14</v>
      </c>
      <c r="D44" s="12">
        <v>2000</v>
      </c>
      <c r="E44" s="13">
        <v>2023087.6591169999</v>
      </c>
      <c r="G44" s="11">
        <v>10</v>
      </c>
      <c r="H44" s="12" t="s">
        <v>14</v>
      </c>
      <c r="I44" s="12">
        <v>3000</v>
      </c>
      <c r="J44" s="13">
        <v>949820.57505500002</v>
      </c>
      <c r="K44" s="14"/>
      <c r="M44" s="11">
        <v>10</v>
      </c>
      <c r="N44" s="12" t="s">
        <v>14</v>
      </c>
      <c r="O44" s="12">
        <v>4000</v>
      </c>
      <c r="P44" s="13">
        <v>439021.26886399998</v>
      </c>
      <c r="R44" s="11">
        <v>10</v>
      </c>
      <c r="S44" s="12" t="s">
        <v>14</v>
      </c>
      <c r="T44" s="12">
        <v>5000</v>
      </c>
      <c r="U44" s="13">
        <v>624119.91500000004</v>
      </c>
    </row>
    <row r="45" spans="2:21" x14ac:dyDescent="0.3">
      <c r="B45" s="11">
        <v>11</v>
      </c>
      <c r="C45" s="12" t="s">
        <v>12</v>
      </c>
      <c r="D45" s="12">
        <v>2000</v>
      </c>
      <c r="E45" s="13">
        <v>2023087.6591169999</v>
      </c>
      <c r="G45" s="11">
        <v>11</v>
      </c>
      <c r="H45" s="12" t="s">
        <v>12</v>
      </c>
      <c r="I45" s="12">
        <v>3000</v>
      </c>
      <c r="J45" s="13">
        <v>974620.06249200006</v>
      </c>
      <c r="K45" s="14"/>
      <c r="M45" s="11">
        <v>11</v>
      </c>
      <c r="N45" s="12" t="s">
        <v>12</v>
      </c>
      <c r="O45" s="12">
        <v>4000</v>
      </c>
      <c r="P45" s="13">
        <v>596385.37404699996</v>
      </c>
      <c r="R45" s="11">
        <v>11</v>
      </c>
      <c r="S45" s="12" t="s">
        <v>12</v>
      </c>
      <c r="T45" s="12">
        <v>5000</v>
      </c>
      <c r="U45" s="13">
        <v>603168.20403000002</v>
      </c>
    </row>
    <row r="46" spans="2:21" x14ac:dyDescent="0.3">
      <c r="B46" s="11">
        <v>11</v>
      </c>
      <c r="C46" s="12" t="s">
        <v>13</v>
      </c>
      <c r="D46" s="12">
        <v>2000</v>
      </c>
      <c r="E46" s="13">
        <v>1809504.61209</v>
      </c>
      <c r="G46" s="11">
        <v>11</v>
      </c>
      <c r="H46" s="12" t="s">
        <v>13</v>
      </c>
      <c r="I46" s="12">
        <v>3000</v>
      </c>
      <c r="J46" s="13">
        <v>855247.52624200005</v>
      </c>
      <c r="K46" s="14"/>
      <c r="M46" s="11">
        <v>11</v>
      </c>
      <c r="N46" s="12" t="s">
        <v>13</v>
      </c>
      <c r="O46" s="12">
        <v>4000</v>
      </c>
      <c r="P46" s="13">
        <v>327554.95339600003</v>
      </c>
      <c r="R46" s="11">
        <v>11</v>
      </c>
      <c r="S46" s="12" t="s">
        <v>13</v>
      </c>
      <c r="T46" s="12">
        <v>5000</v>
      </c>
      <c r="U46" s="13">
        <v>637417.33684799995</v>
      </c>
    </row>
    <row r="47" spans="2:21" x14ac:dyDescent="0.3">
      <c r="B47" s="11">
        <v>11</v>
      </c>
      <c r="C47" s="12" t="s">
        <v>14</v>
      </c>
      <c r="D47" s="12">
        <v>2000</v>
      </c>
      <c r="E47" s="13">
        <v>1635883.9353690001</v>
      </c>
      <c r="G47" s="11">
        <v>11</v>
      </c>
      <c r="H47" s="12" t="s">
        <v>14</v>
      </c>
      <c r="I47" s="12">
        <v>3000</v>
      </c>
      <c r="J47" s="13">
        <v>979648.23032199999</v>
      </c>
      <c r="K47" s="14"/>
      <c r="M47" s="11">
        <v>11</v>
      </c>
      <c r="N47" s="12" t="s">
        <v>14</v>
      </c>
      <c r="O47" s="12">
        <v>4000</v>
      </c>
      <c r="P47" s="13">
        <v>361773.26026299997</v>
      </c>
      <c r="R47" s="11">
        <v>11</v>
      </c>
      <c r="S47" s="12" t="s">
        <v>14</v>
      </c>
      <c r="T47" s="12">
        <v>5000</v>
      </c>
      <c r="U47" s="13">
        <v>664395.39215199999</v>
      </c>
    </row>
    <row r="48" spans="2:21" x14ac:dyDescent="0.3">
      <c r="B48" s="11">
        <v>12</v>
      </c>
      <c r="C48" s="12" t="s">
        <v>12</v>
      </c>
      <c r="D48" s="12">
        <v>2000</v>
      </c>
      <c r="E48" s="13">
        <v>2181178.5804929999</v>
      </c>
      <c r="G48" s="11">
        <v>12</v>
      </c>
      <c r="H48" s="12" t="s">
        <v>12</v>
      </c>
      <c r="I48" s="12">
        <v>3000</v>
      </c>
      <c r="J48" s="13">
        <v>925395.69914699998</v>
      </c>
      <c r="K48" s="14"/>
      <c r="M48" s="11">
        <v>12</v>
      </c>
      <c r="N48" s="12" t="s">
        <v>12</v>
      </c>
      <c r="O48" s="12">
        <v>4000</v>
      </c>
      <c r="P48" s="13">
        <v>552271.61274699995</v>
      </c>
      <c r="R48" s="11">
        <v>12</v>
      </c>
      <c r="S48" s="12" t="s">
        <v>12</v>
      </c>
      <c r="T48" s="12">
        <v>5000</v>
      </c>
      <c r="U48" s="13">
        <v>634185.21072500001</v>
      </c>
    </row>
    <row r="49" spans="2:21" x14ac:dyDescent="0.3">
      <c r="B49" s="11">
        <v>12</v>
      </c>
      <c r="C49" s="12" t="s">
        <v>13</v>
      </c>
      <c r="D49" s="12">
        <v>2000</v>
      </c>
      <c r="E49" s="13">
        <v>1734595.8015040001</v>
      </c>
      <c r="G49" s="11">
        <v>12</v>
      </c>
      <c r="H49" s="12" t="s">
        <v>13</v>
      </c>
      <c r="I49" s="12">
        <v>3000</v>
      </c>
      <c r="J49" s="13">
        <v>921153.98529999994</v>
      </c>
      <c r="K49" s="14"/>
      <c r="M49" s="11">
        <v>12</v>
      </c>
      <c r="N49" s="12" t="s">
        <v>13</v>
      </c>
      <c r="O49" s="12">
        <v>4000</v>
      </c>
      <c r="P49" s="13">
        <v>331116.30983099999</v>
      </c>
      <c r="R49" s="11">
        <v>12</v>
      </c>
      <c r="S49" s="12" t="s">
        <v>13</v>
      </c>
      <c r="T49" s="12">
        <v>5000</v>
      </c>
      <c r="U49" s="13">
        <v>605747.129342</v>
      </c>
    </row>
    <row r="50" spans="2:21" x14ac:dyDescent="0.3">
      <c r="B50" s="11">
        <v>12</v>
      </c>
      <c r="C50" s="12" t="s">
        <v>14</v>
      </c>
      <c r="D50" s="12">
        <v>2000</v>
      </c>
      <c r="E50" s="13">
        <v>2500858.6839930001</v>
      </c>
      <c r="G50" s="11">
        <v>12</v>
      </c>
      <c r="H50" s="12" t="s">
        <v>14</v>
      </c>
      <c r="I50" s="12">
        <v>3000</v>
      </c>
      <c r="J50" s="13">
        <v>926822.67871400004</v>
      </c>
      <c r="K50" s="14"/>
      <c r="M50" s="11">
        <v>12</v>
      </c>
      <c r="N50" s="12" t="s">
        <v>14</v>
      </c>
      <c r="O50" s="12">
        <v>4000</v>
      </c>
      <c r="P50" s="13">
        <v>324075.51530899998</v>
      </c>
      <c r="R50" s="11">
        <v>12</v>
      </c>
      <c r="S50" s="12" t="s">
        <v>14</v>
      </c>
      <c r="T50" s="12">
        <v>5000</v>
      </c>
      <c r="U50" s="13">
        <v>677413.35540500004</v>
      </c>
    </row>
    <row r="51" spans="2:21" x14ac:dyDescent="0.3">
      <c r="B51" s="11">
        <v>13</v>
      </c>
      <c r="C51" s="12" t="s">
        <v>12</v>
      </c>
      <c r="D51" s="12">
        <v>2000</v>
      </c>
      <c r="E51" s="13">
        <v>2291559.9449140001</v>
      </c>
      <c r="G51" s="11">
        <v>13</v>
      </c>
      <c r="H51" s="12" t="s">
        <v>12</v>
      </c>
      <c r="I51" s="12">
        <v>3000</v>
      </c>
      <c r="J51" s="13">
        <v>974620.06249200006</v>
      </c>
      <c r="K51" s="14"/>
      <c r="M51" s="11">
        <v>13</v>
      </c>
      <c r="N51" s="12" t="s">
        <v>12</v>
      </c>
      <c r="O51" s="12">
        <v>4000</v>
      </c>
      <c r="P51" s="13">
        <v>455569.63383800001</v>
      </c>
      <c r="R51" s="11">
        <v>13</v>
      </c>
      <c r="S51" s="12" t="s">
        <v>12</v>
      </c>
      <c r="T51" s="12">
        <v>5000</v>
      </c>
      <c r="U51" s="13">
        <v>589826.340968</v>
      </c>
    </row>
    <row r="52" spans="2:21" x14ac:dyDescent="0.3">
      <c r="B52" s="11">
        <v>13</v>
      </c>
      <c r="C52" s="12" t="s">
        <v>13</v>
      </c>
      <c r="D52" s="12">
        <v>2000</v>
      </c>
      <c r="E52" s="13">
        <v>1882930.6673610001</v>
      </c>
      <c r="G52" s="11">
        <v>13</v>
      </c>
      <c r="H52" s="12" t="s">
        <v>13</v>
      </c>
      <c r="I52" s="12">
        <v>3000</v>
      </c>
      <c r="J52" s="13">
        <v>925395.69914699998</v>
      </c>
      <c r="K52" s="14"/>
      <c r="M52" s="11">
        <v>13</v>
      </c>
      <c r="N52" s="12" t="s">
        <v>13</v>
      </c>
      <c r="O52" s="12">
        <v>4000</v>
      </c>
      <c r="P52" s="13">
        <v>327176.78707399999</v>
      </c>
      <c r="R52" s="11">
        <v>13</v>
      </c>
      <c r="S52" s="12" t="s">
        <v>13</v>
      </c>
      <c r="T52" s="12">
        <v>5000</v>
      </c>
      <c r="U52" s="13">
        <v>662558.95517700003</v>
      </c>
    </row>
    <row r="53" spans="2:21" x14ac:dyDescent="0.3">
      <c r="B53" s="11">
        <v>13</v>
      </c>
      <c r="C53" s="12" t="s">
        <v>14</v>
      </c>
      <c r="D53" s="12">
        <v>2000</v>
      </c>
      <c r="E53" s="13">
        <v>1734595.8015040001</v>
      </c>
      <c r="G53" s="11">
        <v>13</v>
      </c>
      <c r="H53" s="12" t="s">
        <v>14</v>
      </c>
      <c r="I53" s="12">
        <v>3000</v>
      </c>
      <c r="J53" s="13">
        <v>876828.93308800005</v>
      </c>
      <c r="K53" s="14"/>
      <c r="M53" s="11">
        <v>13</v>
      </c>
      <c r="N53" s="12" t="s">
        <v>14</v>
      </c>
      <c r="O53" s="12">
        <v>4000</v>
      </c>
      <c r="P53" s="13">
        <v>325770.24075499998</v>
      </c>
      <c r="R53" s="11">
        <v>13</v>
      </c>
      <c r="S53" s="12" t="s">
        <v>14</v>
      </c>
      <c r="T53" s="12">
        <v>5000</v>
      </c>
      <c r="U53" s="13">
        <v>603168.20403000002</v>
      </c>
    </row>
    <row r="54" spans="2:21" x14ac:dyDescent="0.3">
      <c r="B54" s="11">
        <v>14</v>
      </c>
      <c r="C54" s="12" t="s">
        <v>12</v>
      </c>
      <c r="D54" s="12">
        <v>2000</v>
      </c>
      <c r="E54" s="13">
        <v>2291559.9449140001</v>
      </c>
      <c r="G54" s="11">
        <v>14</v>
      </c>
      <c r="H54" s="12" t="s">
        <v>12</v>
      </c>
      <c r="I54" s="12">
        <v>3000</v>
      </c>
      <c r="J54" s="13">
        <v>886055.72802899999</v>
      </c>
      <c r="K54" s="14"/>
      <c r="M54" s="11">
        <v>14</v>
      </c>
      <c r="N54" s="12" t="s">
        <v>12</v>
      </c>
      <c r="O54" s="12">
        <v>4000</v>
      </c>
      <c r="P54" s="13">
        <v>481090.315733</v>
      </c>
      <c r="R54" s="11">
        <v>14</v>
      </c>
      <c r="S54" s="12" t="s">
        <v>12</v>
      </c>
      <c r="T54" s="12">
        <v>5000</v>
      </c>
      <c r="U54" s="13">
        <v>637417.33684799995</v>
      </c>
    </row>
    <row r="55" spans="2:21" x14ac:dyDescent="0.3">
      <c r="B55" s="11">
        <v>14</v>
      </c>
      <c r="C55" s="12" t="s">
        <v>13</v>
      </c>
      <c r="D55" s="12">
        <v>2000</v>
      </c>
      <c r="E55" s="13">
        <v>1809504.61209</v>
      </c>
      <c r="G55" s="11">
        <v>14</v>
      </c>
      <c r="H55" s="12" t="s">
        <v>13</v>
      </c>
      <c r="I55" s="12">
        <v>3000</v>
      </c>
      <c r="J55" s="13">
        <v>893650.63031799998</v>
      </c>
      <c r="K55" s="14"/>
      <c r="M55" s="11">
        <v>14</v>
      </c>
      <c r="N55" s="12" t="s">
        <v>13</v>
      </c>
      <c r="O55" s="12">
        <v>4000</v>
      </c>
      <c r="P55" s="13">
        <v>367521.58244700002</v>
      </c>
      <c r="R55" s="11">
        <v>14</v>
      </c>
      <c r="S55" s="12" t="s">
        <v>13</v>
      </c>
      <c r="T55" s="12">
        <v>5000</v>
      </c>
      <c r="U55" s="13">
        <v>616403.85015399999</v>
      </c>
    </row>
    <row r="56" spans="2:21" x14ac:dyDescent="0.3">
      <c r="B56" s="11">
        <v>14</v>
      </c>
      <c r="C56" s="12" t="s">
        <v>14</v>
      </c>
      <c r="D56" s="12">
        <v>2000</v>
      </c>
      <c r="E56" s="13">
        <v>2291559.9449140001</v>
      </c>
      <c r="G56" s="11">
        <v>14</v>
      </c>
      <c r="H56" s="12" t="s">
        <v>14</v>
      </c>
      <c r="I56" s="12">
        <v>3000</v>
      </c>
      <c r="J56" s="13">
        <v>1034623.844689</v>
      </c>
      <c r="K56" s="14"/>
      <c r="M56" s="11">
        <v>14</v>
      </c>
      <c r="N56" s="12" t="s">
        <v>14</v>
      </c>
      <c r="O56" s="12">
        <v>4000</v>
      </c>
      <c r="P56" s="13">
        <v>325274.48967400001</v>
      </c>
      <c r="R56" s="11">
        <v>14</v>
      </c>
      <c r="S56" s="12" t="s">
        <v>14</v>
      </c>
      <c r="T56" s="12">
        <v>5000</v>
      </c>
      <c r="U56" s="13">
        <v>637417.33684799995</v>
      </c>
    </row>
    <row r="57" spans="2:21" x14ac:dyDescent="0.3">
      <c r="B57" s="11">
        <v>15</v>
      </c>
      <c r="C57" s="12" t="s">
        <v>12</v>
      </c>
      <c r="D57" s="12">
        <v>2000</v>
      </c>
      <c r="E57" s="13">
        <v>2023087.6591169999</v>
      </c>
      <c r="G57" s="11">
        <v>15</v>
      </c>
      <c r="H57" s="12" t="s">
        <v>12</v>
      </c>
      <c r="I57" s="12">
        <v>3000</v>
      </c>
      <c r="J57" s="13">
        <v>966409.13216799998</v>
      </c>
      <c r="K57" s="14"/>
      <c r="M57" s="11">
        <v>15</v>
      </c>
      <c r="N57" s="12" t="s">
        <v>12</v>
      </c>
      <c r="O57" s="12">
        <v>4000</v>
      </c>
      <c r="P57" s="13">
        <v>692715.90683800005</v>
      </c>
      <c r="R57" s="11">
        <v>15</v>
      </c>
      <c r="S57" s="12" t="s">
        <v>12</v>
      </c>
      <c r="T57" s="12">
        <v>5000</v>
      </c>
      <c r="U57" s="13">
        <v>589826.340968</v>
      </c>
    </row>
    <row r="58" spans="2:21" x14ac:dyDescent="0.3">
      <c r="B58" s="11">
        <v>15</v>
      </c>
      <c r="C58" s="12" t="s">
        <v>13</v>
      </c>
      <c r="D58" s="12">
        <v>2000</v>
      </c>
      <c r="E58" s="13">
        <v>2069247.6893790001</v>
      </c>
      <c r="G58" s="11">
        <v>15</v>
      </c>
      <c r="H58" s="12" t="s">
        <v>13</v>
      </c>
      <c r="I58" s="12">
        <v>3000</v>
      </c>
      <c r="J58" s="13">
        <v>853008.65453199996</v>
      </c>
      <c r="K58" s="14"/>
      <c r="M58" s="11">
        <v>15</v>
      </c>
      <c r="N58" s="12" t="s">
        <v>13</v>
      </c>
      <c r="O58" s="12">
        <v>4000</v>
      </c>
      <c r="P58" s="13">
        <v>641172.40518899995</v>
      </c>
      <c r="R58" s="11">
        <v>15</v>
      </c>
      <c r="S58" s="12" t="s">
        <v>13</v>
      </c>
      <c r="T58" s="12">
        <v>5000</v>
      </c>
      <c r="U58" s="13">
        <v>644272.75477899995</v>
      </c>
    </row>
    <row r="59" spans="2:21" x14ac:dyDescent="0.3">
      <c r="B59" s="11">
        <v>15</v>
      </c>
      <c r="C59" s="12" t="s">
        <v>14</v>
      </c>
      <c r="D59" s="12">
        <v>2000</v>
      </c>
      <c r="E59" s="13">
        <v>1842307.9705999999</v>
      </c>
      <c r="G59" s="11">
        <v>15</v>
      </c>
      <c r="H59" s="12" t="s">
        <v>14</v>
      </c>
      <c r="I59" s="12">
        <v>3000</v>
      </c>
      <c r="J59" s="13">
        <v>952914.46134299994</v>
      </c>
      <c r="K59" s="14"/>
      <c r="M59" s="11">
        <v>15</v>
      </c>
      <c r="N59" s="12" t="s">
        <v>14</v>
      </c>
      <c r="O59" s="12">
        <v>4000</v>
      </c>
      <c r="P59" s="13">
        <v>327554.95339600003</v>
      </c>
      <c r="R59" s="11">
        <v>15</v>
      </c>
      <c r="S59" s="12" t="s">
        <v>14</v>
      </c>
      <c r="T59" s="12">
        <v>5000</v>
      </c>
      <c r="U59" s="13">
        <v>603168.20403000002</v>
      </c>
    </row>
    <row r="60" spans="2:21" x14ac:dyDescent="0.3">
      <c r="B60" s="11">
        <v>16</v>
      </c>
      <c r="C60" s="12" t="s">
        <v>12</v>
      </c>
      <c r="D60" s="12">
        <v>2000</v>
      </c>
      <c r="E60" s="13">
        <v>2395511.6535880002</v>
      </c>
      <c r="G60" s="11">
        <v>16</v>
      </c>
      <c r="H60" s="12" t="s">
        <v>12</v>
      </c>
      <c r="I60" s="12">
        <v>3000</v>
      </c>
      <c r="J60" s="13">
        <v>1040644.984822</v>
      </c>
      <c r="K60" s="14"/>
      <c r="M60" s="11">
        <v>16</v>
      </c>
      <c r="N60" s="12" t="s">
        <v>12</v>
      </c>
      <c r="O60" s="12">
        <v>4000</v>
      </c>
      <c r="P60" s="13">
        <v>583300.710463</v>
      </c>
      <c r="R60" s="11">
        <v>16</v>
      </c>
      <c r="S60" s="12" t="s">
        <v>12</v>
      </c>
      <c r="T60" s="12">
        <v>5000</v>
      </c>
      <c r="U60" s="13">
        <v>603168.20403000002</v>
      </c>
    </row>
    <row r="61" spans="2:21" x14ac:dyDescent="0.3">
      <c r="B61" s="11">
        <v>16</v>
      </c>
      <c r="C61" s="12" t="s">
        <v>13</v>
      </c>
      <c r="D61" s="12">
        <v>2000</v>
      </c>
      <c r="E61" s="13">
        <v>1814850.279902</v>
      </c>
      <c r="G61" s="11">
        <v>16</v>
      </c>
      <c r="H61" s="12" t="s">
        <v>13</v>
      </c>
      <c r="I61" s="12">
        <v>3000</v>
      </c>
      <c r="J61" s="13">
        <v>925395.69914699998</v>
      </c>
      <c r="K61" s="14"/>
      <c r="M61" s="11">
        <v>16</v>
      </c>
      <c r="N61" s="12" t="s">
        <v>13</v>
      </c>
      <c r="O61" s="12">
        <v>4000</v>
      </c>
      <c r="P61" s="13">
        <v>859208.33650400001</v>
      </c>
      <c r="R61" s="11">
        <v>16</v>
      </c>
      <c r="S61" s="12" t="s">
        <v>13</v>
      </c>
      <c r="T61" s="12">
        <v>5000</v>
      </c>
      <c r="U61" s="13">
        <v>614102.65686700004</v>
      </c>
    </row>
    <row r="62" spans="2:21" x14ac:dyDescent="0.3">
      <c r="B62" s="11">
        <v>16</v>
      </c>
      <c r="C62" s="12" t="s">
        <v>14</v>
      </c>
      <c r="D62" s="12">
        <v>2000</v>
      </c>
      <c r="E62" s="13">
        <v>1952575.0121520001</v>
      </c>
      <c r="G62" s="11">
        <v>16</v>
      </c>
      <c r="H62" s="12" t="s">
        <v>14</v>
      </c>
      <c r="I62" s="12">
        <v>3000</v>
      </c>
      <c r="J62" s="13">
        <v>1006926.9919969999</v>
      </c>
      <c r="K62" s="14"/>
      <c r="M62" s="11">
        <v>16</v>
      </c>
      <c r="N62" s="12" t="s">
        <v>14</v>
      </c>
      <c r="O62" s="12">
        <v>4000</v>
      </c>
      <c r="P62" s="13">
        <v>327681.30053800001</v>
      </c>
      <c r="R62" s="11">
        <v>16</v>
      </c>
      <c r="S62" s="12" t="s">
        <v>14</v>
      </c>
      <c r="T62" s="12">
        <v>5000</v>
      </c>
      <c r="U62" s="13">
        <v>630100.97010300006</v>
      </c>
    </row>
    <row r="63" spans="2:21" x14ac:dyDescent="0.3">
      <c r="B63" s="11">
        <v>17</v>
      </c>
      <c r="C63" s="12" t="s">
        <v>12</v>
      </c>
      <c r="D63" s="12">
        <v>2000</v>
      </c>
      <c r="E63" s="13">
        <v>2181178.5804929999</v>
      </c>
      <c r="G63" s="11">
        <v>17</v>
      </c>
      <c r="H63" s="12" t="s">
        <v>12</v>
      </c>
      <c r="I63" s="12">
        <v>3000</v>
      </c>
      <c r="J63" s="13">
        <v>898823.75966800004</v>
      </c>
      <c r="K63" s="14"/>
      <c r="M63" s="11">
        <v>17</v>
      </c>
      <c r="N63" s="12" t="s">
        <v>12</v>
      </c>
      <c r="O63" s="12">
        <v>4000</v>
      </c>
      <c r="P63" s="13">
        <v>589642.106592</v>
      </c>
      <c r="R63" s="11">
        <v>17</v>
      </c>
      <c r="S63" s="12" t="s">
        <v>12</v>
      </c>
      <c r="T63" s="12">
        <v>5000</v>
      </c>
      <c r="U63" s="13">
        <v>654353.57414799999</v>
      </c>
    </row>
    <row r="64" spans="2:21" x14ac:dyDescent="0.3">
      <c r="B64" s="11">
        <v>17</v>
      </c>
      <c r="C64" s="12" t="s">
        <v>13</v>
      </c>
      <c r="D64" s="12">
        <v>2000</v>
      </c>
      <c r="E64" s="13">
        <v>1952575.0121520001</v>
      </c>
      <c r="G64" s="11">
        <v>17</v>
      </c>
      <c r="H64" s="12" t="s">
        <v>13</v>
      </c>
      <c r="I64" s="12">
        <v>3000</v>
      </c>
      <c r="J64" s="13">
        <v>949820.57505500002</v>
      </c>
      <c r="K64" s="14"/>
      <c r="M64" s="11">
        <v>17</v>
      </c>
      <c r="N64" s="12" t="s">
        <v>13</v>
      </c>
      <c r="O64" s="12">
        <v>4000</v>
      </c>
      <c r="P64" s="13">
        <v>634873.66963400005</v>
      </c>
      <c r="R64" s="11">
        <v>17</v>
      </c>
      <c r="S64" s="12" t="s">
        <v>13</v>
      </c>
      <c r="T64" s="12">
        <v>5000</v>
      </c>
      <c r="U64" s="13">
        <v>589826.340968</v>
      </c>
    </row>
    <row r="65" spans="2:21" x14ac:dyDescent="0.3">
      <c r="B65" s="11">
        <v>17</v>
      </c>
      <c r="C65" s="12" t="s">
        <v>14</v>
      </c>
      <c r="D65" s="12">
        <v>2000</v>
      </c>
      <c r="E65" s="13">
        <v>2291559.9449140001</v>
      </c>
      <c r="G65" s="11">
        <v>17</v>
      </c>
      <c r="H65" s="12" t="s">
        <v>14</v>
      </c>
      <c r="I65" s="12">
        <v>3000</v>
      </c>
      <c r="J65" s="13">
        <v>999669.76593999995</v>
      </c>
      <c r="K65" s="14"/>
      <c r="M65" s="11">
        <v>17</v>
      </c>
      <c r="N65" s="12" t="s">
        <v>14</v>
      </c>
      <c r="O65" s="12">
        <v>4000</v>
      </c>
      <c r="P65" s="13">
        <v>340642.86426599999</v>
      </c>
      <c r="R65" s="11">
        <v>17</v>
      </c>
      <c r="S65" s="12" t="s">
        <v>14</v>
      </c>
      <c r="T65" s="12">
        <v>5000</v>
      </c>
      <c r="U65" s="13">
        <v>648151.03061799996</v>
      </c>
    </row>
    <row r="66" spans="2:21" x14ac:dyDescent="0.3">
      <c r="B66" s="11">
        <v>18</v>
      </c>
      <c r="C66" s="12" t="s">
        <v>12</v>
      </c>
      <c r="D66" s="12">
        <v>2000</v>
      </c>
      <c r="E66" s="13">
        <v>2291559.9449140001</v>
      </c>
      <c r="G66" s="11">
        <v>18</v>
      </c>
      <c r="H66" s="12" t="s">
        <v>12</v>
      </c>
      <c r="I66" s="12">
        <v>3000</v>
      </c>
      <c r="J66" s="13">
        <v>979648.23032199999</v>
      </c>
      <c r="K66" s="14"/>
      <c r="M66" s="11">
        <v>18</v>
      </c>
      <c r="N66" s="12" t="s">
        <v>12</v>
      </c>
      <c r="O66" s="12">
        <v>4000</v>
      </c>
      <c r="P66" s="13">
        <v>548527.35525200004</v>
      </c>
      <c r="R66" s="11">
        <v>18</v>
      </c>
      <c r="S66" s="12" t="s">
        <v>12</v>
      </c>
      <c r="T66" s="12">
        <v>5000</v>
      </c>
      <c r="U66" s="13">
        <v>601793.12410200003</v>
      </c>
    </row>
    <row r="67" spans="2:21" x14ac:dyDescent="0.3">
      <c r="B67" s="11">
        <v>18</v>
      </c>
      <c r="C67" s="12" t="s">
        <v>13</v>
      </c>
      <c r="D67" s="12">
        <v>2000</v>
      </c>
      <c r="E67" s="13">
        <v>1882930.6673610001</v>
      </c>
      <c r="G67" s="11">
        <v>18</v>
      </c>
      <c r="H67" s="12" t="s">
        <v>13</v>
      </c>
      <c r="I67" s="12">
        <v>3000</v>
      </c>
      <c r="J67" s="13">
        <v>943722.14554900001</v>
      </c>
      <c r="K67" s="14"/>
      <c r="M67" s="11">
        <v>18</v>
      </c>
      <c r="N67" s="12" t="s">
        <v>13</v>
      </c>
      <c r="O67" s="12">
        <v>4000</v>
      </c>
      <c r="P67" s="13">
        <v>388867.14030899998</v>
      </c>
      <c r="R67" s="11">
        <v>18</v>
      </c>
      <c r="S67" s="12" t="s">
        <v>13</v>
      </c>
      <c r="T67" s="12">
        <v>5000</v>
      </c>
      <c r="U67" s="13">
        <v>644272.75477899995</v>
      </c>
    </row>
    <row r="68" spans="2:21" x14ac:dyDescent="0.3">
      <c r="B68" s="11">
        <v>18</v>
      </c>
      <c r="C68" s="12" t="s">
        <v>14</v>
      </c>
      <c r="D68" s="12">
        <v>2000</v>
      </c>
      <c r="E68" s="13">
        <v>1882930.6673610001</v>
      </c>
      <c r="G68" s="11">
        <v>18</v>
      </c>
      <c r="H68" s="12" t="s">
        <v>14</v>
      </c>
      <c r="I68" s="12">
        <v>3000</v>
      </c>
      <c r="J68" s="13">
        <v>898823.75966800004</v>
      </c>
      <c r="K68" s="14"/>
      <c r="M68" s="11">
        <v>18</v>
      </c>
      <c r="N68" s="12" t="s">
        <v>14</v>
      </c>
      <c r="O68" s="12">
        <v>4000</v>
      </c>
      <c r="P68" s="13">
        <v>582588.93385799997</v>
      </c>
      <c r="R68" s="11">
        <v>18</v>
      </c>
      <c r="S68" s="12" t="s">
        <v>14</v>
      </c>
      <c r="T68" s="12">
        <v>5000</v>
      </c>
      <c r="U68" s="13">
        <v>582588.93385799997</v>
      </c>
    </row>
    <row r="69" spans="2:21" x14ac:dyDescent="0.3">
      <c r="B69" s="11">
        <v>19</v>
      </c>
      <c r="C69" s="12" t="s">
        <v>12</v>
      </c>
      <c r="D69" s="12">
        <v>2000</v>
      </c>
      <c r="E69" s="13">
        <v>2110226.8693200001</v>
      </c>
      <c r="G69" s="11">
        <v>19</v>
      </c>
      <c r="H69" s="12" t="s">
        <v>12</v>
      </c>
      <c r="I69" s="12">
        <v>3000</v>
      </c>
      <c r="J69" s="13">
        <v>999669.76593999995</v>
      </c>
      <c r="K69" s="14"/>
      <c r="M69" s="11">
        <v>19</v>
      </c>
      <c r="N69" s="12" t="s">
        <v>12</v>
      </c>
      <c r="O69" s="12">
        <v>4000</v>
      </c>
      <c r="P69" s="13">
        <v>521083.38361800002</v>
      </c>
      <c r="R69" s="11">
        <v>19</v>
      </c>
      <c r="S69" s="12" t="s">
        <v>12</v>
      </c>
      <c r="T69" s="12">
        <v>5000</v>
      </c>
      <c r="U69" s="13">
        <v>592423.89011100004</v>
      </c>
    </row>
    <row r="70" spans="2:21" x14ac:dyDescent="0.3">
      <c r="B70" s="11">
        <v>19</v>
      </c>
      <c r="C70" s="12" t="s">
        <v>13</v>
      </c>
      <c r="D70" s="12">
        <v>2000</v>
      </c>
      <c r="E70" s="13">
        <v>1952575.0121520001</v>
      </c>
      <c r="G70" s="11">
        <v>19</v>
      </c>
      <c r="H70" s="12" t="s">
        <v>13</v>
      </c>
      <c r="I70" s="12">
        <v>3000</v>
      </c>
      <c r="J70" s="13">
        <v>921153.98529999994</v>
      </c>
      <c r="K70" s="14"/>
      <c r="M70" s="11">
        <v>19</v>
      </c>
      <c r="N70" s="12" t="s">
        <v>13</v>
      </c>
      <c r="O70" s="12">
        <v>4000</v>
      </c>
      <c r="P70" s="13">
        <v>384300.62108399998</v>
      </c>
      <c r="R70" s="11">
        <v>19</v>
      </c>
      <c r="S70" s="12" t="s">
        <v>13</v>
      </c>
      <c r="T70" s="12">
        <v>5000</v>
      </c>
      <c r="U70" s="13">
        <v>644272.75477899995</v>
      </c>
    </row>
    <row r="71" spans="2:21" x14ac:dyDescent="0.3">
      <c r="B71" s="11">
        <v>19</v>
      </c>
      <c r="C71" s="12" t="s">
        <v>14</v>
      </c>
      <c r="D71" s="12">
        <v>2000</v>
      </c>
      <c r="E71" s="13">
        <v>2291559.9449140001</v>
      </c>
      <c r="G71" s="11">
        <v>19</v>
      </c>
      <c r="H71" s="12" t="s">
        <v>14</v>
      </c>
      <c r="I71" s="12">
        <v>3000</v>
      </c>
      <c r="J71" s="13">
        <v>1034623.844689</v>
      </c>
      <c r="K71" s="14"/>
      <c r="M71" s="11">
        <v>19</v>
      </c>
      <c r="N71" s="12" t="s">
        <v>14</v>
      </c>
      <c r="O71" s="12">
        <v>4000</v>
      </c>
      <c r="P71" s="13">
        <v>360083.905899</v>
      </c>
      <c r="R71" s="11">
        <v>19</v>
      </c>
      <c r="S71" s="12" t="s">
        <v>14</v>
      </c>
      <c r="T71" s="12">
        <v>5000</v>
      </c>
      <c r="U71" s="13">
        <v>598685.06911100005</v>
      </c>
    </row>
    <row r="72" spans="2:21" x14ac:dyDescent="0.3">
      <c r="B72" s="11">
        <v>20</v>
      </c>
      <c r="C72" s="12" t="s">
        <v>12</v>
      </c>
      <c r="D72" s="12">
        <v>2000</v>
      </c>
      <c r="E72" s="13">
        <v>2291559.9449140001</v>
      </c>
      <c r="G72" s="11">
        <v>20</v>
      </c>
      <c r="H72" s="12" t="s">
        <v>12</v>
      </c>
      <c r="I72" s="12">
        <v>3000</v>
      </c>
      <c r="J72" s="13">
        <v>934790.82021100004</v>
      </c>
      <c r="K72" s="14"/>
      <c r="M72" s="11">
        <v>20</v>
      </c>
      <c r="N72" s="12" t="s">
        <v>12</v>
      </c>
      <c r="O72" s="12">
        <v>4000</v>
      </c>
      <c r="P72" s="13">
        <v>519690.95620000002</v>
      </c>
      <c r="R72" s="11">
        <v>20</v>
      </c>
      <c r="S72" s="12" t="s">
        <v>12</v>
      </c>
      <c r="T72" s="12">
        <v>5000</v>
      </c>
      <c r="U72" s="13">
        <v>586536.30162799999</v>
      </c>
    </row>
    <row r="73" spans="2:21" x14ac:dyDescent="0.3">
      <c r="B73" s="11">
        <v>20</v>
      </c>
      <c r="C73" s="12" t="s">
        <v>13</v>
      </c>
      <c r="D73" s="12">
        <v>2000</v>
      </c>
      <c r="E73" s="13">
        <v>1842307.9705999999</v>
      </c>
      <c r="G73" s="11">
        <v>20</v>
      </c>
      <c r="H73" s="12" t="s">
        <v>13</v>
      </c>
      <c r="I73" s="12">
        <v>3000</v>
      </c>
      <c r="J73" s="13">
        <v>901444.242662</v>
      </c>
      <c r="K73" s="14"/>
      <c r="M73" s="11">
        <v>20</v>
      </c>
      <c r="N73" s="12" t="s">
        <v>13</v>
      </c>
      <c r="O73" s="12">
        <v>4000</v>
      </c>
      <c r="P73" s="13">
        <v>566088.38724700001</v>
      </c>
      <c r="R73" s="11">
        <v>20</v>
      </c>
      <c r="S73" s="12" t="s">
        <v>13</v>
      </c>
      <c r="T73" s="12">
        <v>5000</v>
      </c>
      <c r="U73" s="13">
        <v>648151.03061799996</v>
      </c>
    </row>
    <row r="74" spans="2:21" ht="15" thickBot="1" x14ac:dyDescent="0.35">
      <c r="B74" s="15">
        <v>20</v>
      </c>
      <c r="C74" s="16" t="s">
        <v>14</v>
      </c>
      <c r="D74" s="16">
        <v>2000</v>
      </c>
      <c r="E74" s="17">
        <v>1635883.9353690001</v>
      </c>
      <c r="G74" s="15">
        <v>20</v>
      </c>
      <c r="H74" s="16" t="s">
        <v>14</v>
      </c>
      <c r="I74" s="16">
        <v>3000</v>
      </c>
      <c r="J74" s="17">
        <v>1006926.9919969999</v>
      </c>
      <c r="K74" s="14"/>
      <c r="M74" s="15">
        <v>20</v>
      </c>
      <c r="N74" s="16" t="s">
        <v>14</v>
      </c>
      <c r="O74" s="16">
        <v>4000</v>
      </c>
      <c r="P74" s="17">
        <v>347483.10403799999</v>
      </c>
      <c r="R74" s="15">
        <v>20</v>
      </c>
      <c r="S74" s="16" t="s">
        <v>14</v>
      </c>
      <c r="T74" s="16">
        <v>5000</v>
      </c>
      <c r="U74" s="17">
        <v>616403.85015399999</v>
      </c>
    </row>
    <row r="75" spans="2:21" x14ac:dyDescent="0.3">
      <c r="D75" s="2" t="s">
        <v>39</v>
      </c>
      <c r="E75" s="40">
        <f>AVERAGE(E15:E74)</f>
        <v>2034182.7762123835</v>
      </c>
      <c r="I75" s="2" t="s">
        <v>39</v>
      </c>
      <c r="J75" s="40">
        <f>AVERAGE(J15:J74)</f>
        <v>938009.48782288341</v>
      </c>
      <c r="O75" s="2" t="s">
        <v>39</v>
      </c>
      <c r="P75" s="40">
        <f>AVERAGE(P15:P74)</f>
        <v>500909.49943976663</v>
      </c>
      <c r="T75" s="2" t="s">
        <v>39</v>
      </c>
      <c r="U75" s="40">
        <f>AVERAGE(U15:U74)</f>
        <v>624038.74747551652</v>
      </c>
    </row>
    <row r="76" spans="2:21" x14ac:dyDescent="0.3">
      <c r="D76" s="2" t="s">
        <v>41</v>
      </c>
      <c r="E76" s="1">
        <f>STDEV(E15:E74)</f>
        <v>242122.48983553093</v>
      </c>
      <c r="I76" s="2" t="s">
        <v>41</v>
      </c>
      <c r="J76" s="1">
        <f>STDEV(J15:J74)</f>
        <v>45295.482811794398</v>
      </c>
      <c r="O76" s="2" t="s">
        <v>41</v>
      </c>
      <c r="P76" s="1">
        <f>STDEV(P15:P74)</f>
        <v>228445.01305575541</v>
      </c>
      <c r="T76" s="2" t="s">
        <v>41</v>
      </c>
      <c r="U76" s="1">
        <f>STDEV(U15:U74)</f>
        <v>26160.645660643877</v>
      </c>
    </row>
    <row r="77" spans="2:21" x14ac:dyDescent="0.3">
      <c r="D77" s="2" t="s">
        <v>40</v>
      </c>
      <c r="E77" s="40">
        <f>MAX(E15:E74)-MIN(E15:E74)</f>
        <v>1290474.2108599998</v>
      </c>
      <c r="I77" s="2" t="s">
        <v>40</v>
      </c>
      <c r="J77" s="40">
        <f>MAX(J15:J74)-MIN(J15:J74)</f>
        <v>187636.33029000007</v>
      </c>
      <c r="O77" s="2" t="s">
        <v>40</v>
      </c>
      <c r="P77" s="40">
        <f>MAX(P15:P74)-MIN(P15:P74)</f>
        <v>1341438.0897359999</v>
      </c>
      <c r="T77" s="2" t="s">
        <v>40</v>
      </c>
      <c r="U77" s="40">
        <f>MAX(U15:U74)-MIN(U15:U74)</f>
        <v>102656.44381700002</v>
      </c>
    </row>
    <row r="78" spans="2:21" x14ac:dyDescent="0.3">
      <c r="E78" s="3">
        <f>SUM(E15:E74)</f>
        <v>122050966.57274301</v>
      </c>
    </row>
  </sheetData>
  <mergeCells count="36">
    <mergeCell ref="B2:E2"/>
    <mergeCell ref="M2:P2"/>
    <mergeCell ref="G2:J2"/>
    <mergeCell ref="G3:I3"/>
    <mergeCell ref="B7:D7"/>
    <mergeCell ref="M7:O7"/>
    <mergeCell ref="G6:I6"/>
    <mergeCell ref="G7:I7"/>
    <mergeCell ref="R2:U2"/>
    <mergeCell ref="R3:T3"/>
    <mergeCell ref="B4:D4"/>
    <mergeCell ref="M4:O4"/>
    <mergeCell ref="B5:D5"/>
    <mergeCell ref="M5:O5"/>
    <mergeCell ref="G4:I4"/>
    <mergeCell ref="G5:I5"/>
    <mergeCell ref="R4:T4"/>
    <mergeCell ref="R5:T5"/>
    <mergeCell ref="B3:D3"/>
    <mergeCell ref="M3:O3"/>
    <mergeCell ref="R6:T6"/>
    <mergeCell ref="R7:T7"/>
    <mergeCell ref="B11:D11"/>
    <mergeCell ref="M11:O11"/>
    <mergeCell ref="B9:D9"/>
    <mergeCell ref="M9:O9"/>
    <mergeCell ref="B10:D10"/>
    <mergeCell ref="M10:O10"/>
    <mergeCell ref="G9:I9"/>
    <mergeCell ref="G10:I10"/>
    <mergeCell ref="G11:I11"/>
    <mergeCell ref="R9:T9"/>
    <mergeCell ref="R10:T10"/>
    <mergeCell ref="R11:T11"/>
    <mergeCell ref="B6:D6"/>
    <mergeCell ref="M6:O6"/>
  </mergeCells>
  <pageMargins left="0.25" right="0.25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R37"/>
  <sheetViews>
    <sheetView topLeftCell="AL18" zoomScale="135" zoomScaleNormal="90" workbookViewId="0">
      <selection activeCell="AR35" sqref="AR35"/>
    </sheetView>
  </sheetViews>
  <sheetFormatPr defaultColWidth="9.21875" defaultRowHeight="14.4" x14ac:dyDescent="0.3"/>
  <cols>
    <col min="1" max="1" width="5.77734375" style="1" customWidth="1"/>
    <col min="2" max="2" width="15.77734375" style="2" customWidth="1"/>
    <col min="3" max="3" width="11.44140625" style="2" customWidth="1"/>
    <col min="4" max="4" width="10.5546875" style="3" customWidth="1"/>
    <col min="5" max="5" width="16.21875" style="1" customWidth="1"/>
    <col min="6" max="6" width="15.77734375" style="2" customWidth="1"/>
    <col min="7" max="7" width="11.44140625" style="2" customWidth="1"/>
    <col min="8" max="8" width="10.5546875" style="2" customWidth="1"/>
    <col min="9" max="9" width="5.77734375" style="2" customWidth="1"/>
    <col min="10" max="10" width="5.77734375" style="1" customWidth="1"/>
    <col min="11" max="11" width="15.77734375" style="2" customWidth="1"/>
    <col min="12" max="12" width="11.44140625" style="2" customWidth="1"/>
    <col min="13" max="13" width="10.5546875" style="1" customWidth="1"/>
    <col min="14" max="14" width="5.77734375" style="1" customWidth="1"/>
    <col min="15" max="15" width="15.77734375" style="2" customWidth="1"/>
    <col min="16" max="16" width="11.44140625" style="2" customWidth="1"/>
    <col min="17" max="17" width="10.5546875" style="1" customWidth="1"/>
    <col min="18" max="18" width="5.77734375" style="2" customWidth="1"/>
    <col min="19" max="19" width="5.77734375" style="1" customWidth="1"/>
    <col min="20" max="20" width="15.77734375" style="2" customWidth="1"/>
    <col min="21" max="21" width="11.44140625" style="2" customWidth="1"/>
    <col min="22" max="22" width="10.5546875" style="1" customWidth="1"/>
    <col min="23" max="23" width="5.77734375" style="1" customWidth="1"/>
    <col min="24" max="24" width="15.77734375" style="2" customWidth="1"/>
    <col min="25" max="25" width="11.44140625" style="2" customWidth="1"/>
    <col min="26" max="26" width="10.5546875" style="1" customWidth="1"/>
    <col min="27" max="27" width="5.77734375" style="2" customWidth="1"/>
    <col min="28" max="28" width="5.77734375" style="1" customWidth="1"/>
    <col min="29" max="29" width="15.77734375" style="2" customWidth="1"/>
    <col min="30" max="30" width="11.44140625" style="2" customWidth="1"/>
    <col min="31" max="31" width="10.5546875" style="1" customWidth="1"/>
    <col min="32" max="32" width="5.77734375" style="1" customWidth="1"/>
    <col min="33" max="33" width="15.77734375" style="2" customWidth="1"/>
    <col min="34" max="34" width="11.44140625" style="2" customWidth="1"/>
    <col min="35" max="35" width="10.5546875" style="1" customWidth="1"/>
    <col min="36" max="36" width="5.77734375" style="2" customWidth="1"/>
    <col min="37" max="37" width="5.77734375" style="1" customWidth="1"/>
    <col min="38" max="38" width="15.77734375" style="2" customWidth="1"/>
    <col min="39" max="39" width="11.44140625" style="2" customWidth="1"/>
    <col min="40" max="40" width="10.5546875" style="1" customWidth="1"/>
    <col min="41" max="41" width="5.77734375" style="1" customWidth="1"/>
    <col min="42" max="42" width="15.77734375" style="2" customWidth="1"/>
    <col min="43" max="43" width="11.44140625" style="2" customWidth="1"/>
    <col min="44" max="44" width="10.5546875" style="1" customWidth="1"/>
    <col min="45" max="16384" width="9.21875" style="1"/>
  </cols>
  <sheetData>
    <row r="1" spans="2:44" ht="15" thickBot="1" x14ac:dyDescent="0.35"/>
    <row r="2" spans="2:44" ht="15" thickBot="1" x14ac:dyDescent="0.35">
      <c r="B2" s="56" t="s">
        <v>15</v>
      </c>
      <c r="C2" s="57"/>
      <c r="D2" s="57"/>
      <c r="E2" s="57"/>
      <c r="F2" s="57"/>
      <c r="G2" s="57"/>
      <c r="H2" s="58"/>
      <c r="K2" s="56" t="str">
        <f>B2</f>
        <v>Test</v>
      </c>
      <c r="L2" s="57"/>
      <c r="M2" s="57"/>
      <c r="N2" s="57"/>
      <c r="O2" s="57"/>
      <c r="P2" s="57"/>
      <c r="Q2" s="58"/>
      <c r="T2" s="56" t="str">
        <f>K2</f>
        <v>Test</v>
      </c>
      <c r="U2" s="57"/>
      <c r="V2" s="57"/>
      <c r="W2" s="57"/>
      <c r="X2" s="57"/>
      <c r="Y2" s="57"/>
      <c r="Z2" s="58"/>
      <c r="AC2" s="56" t="str">
        <f>T2</f>
        <v>Test</v>
      </c>
      <c r="AD2" s="57"/>
      <c r="AE2" s="57"/>
      <c r="AF2" s="57"/>
      <c r="AG2" s="57"/>
      <c r="AH2" s="57"/>
      <c r="AI2" s="58"/>
      <c r="AL2" s="56" t="str">
        <f>AC2</f>
        <v>Test</v>
      </c>
      <c r="AM2" s="57"/>
      <c r="AN2" s="57"/>
      <c r="AO2" s="57"/>
      <c r="AP2" s="57"/>
      <c r="AQ2" s="57"/>
      <c r="AR2" s="58"/>
    </row>
    <row r="3" spans="2:44" x14ac:dyDescent="0.3">
      <c r="B3" s="59" t="s">
        <v>0</v>
      </c>
      <c r="C3" s="60"/>
      <c r="D3" s="61"/>
      <c r="E3" s="31"/>
      <c r="F3" s="32"/>
      <c r="G3" s="32"/>
      <c r="H3" s="33"/>
      <c r="I3" s="1"/>
      <c r="K3" s="59" t="s">
        <v>0</v>
      </c>
      <c r="L3" s="60"/>
      <c r="M3" s="61"/>
      <c r="N3" s="41" t="str">
        <f>IF(E3&lt;&gt;"",E3,"")</f>
        <v/>
      </c>
      <c r="O3" s="42"/>
      <c r="P3" s="42"/>
      <c r="Q3" s="43"/>
      <c r="R3" s="1"/>
      <c r="T3" s="59" t="s">
        <v>0</v>
      </c>
      <c r="U3" s="60"/>
      <c r="V3" s="61"/>
      <c r="W3" s="41" t="str">
        <f>IF(E3&lt;&gt;"",E3,"")</f>
        <v/>
      </c>
      <c r="X3" s="42"/>
      <c r="Y3" s="42"/>
      <c r="Z3" s="43"/>
      <c r="AA3" s="1"/>
      <c r="AC3" s="59" t="s">
        <v>0</v>
      </c>
      <c r="AD3" s="60"/>
      <c r="AE3" s="61"/>
      <c r="AF3" s="41" t="str">
        <f>IF(E3&lt;&gt;"",E3,"")</f>
        <v/>
      </c>
      <c r="AG3" s="42"/>
      <c r="AH3" s="42"/>
      <c r="AI3" s="43"/>
      <c r="AJ3" s="1"/>
      <c r="AL3" s="59" t="s">
        <v>0</v>
      </c>
      <c r="AM3" s="60"/>
      <c r="AN3" s="61"/>
      <c r="AO3" s="41" t="str">
        <f>IF(E3&lt;&gt;"",E3,"")</f>
        <v/>
      </c>
      <c r="AP3" s="42"/>
      <c r="AQ3" s="42"/>
      <c r="AR3" s="43"/>
    </row>
    <row r="4" spans="2:44" x14ac:dyDescent="0.3">
      <c r="B4" s="44" t="s">
        <v>1</v>
      </c>
      <c r="C4" s="45"/>
      <c r="D4" s="46"/>
      <c r="E4" s="22"/>
      <c r="F4" s="23"/>
      <c r="G4" s="23"/>
      <c r="H4" s="24"/>
      <c r="I4" s="1"/>
      <c r="K4" s="44" t="s">
        <v>1</v>
      </c>
      <c r="L4" s="45"/>
      <c r="M4" s="46"/>
      <c r="N4" s="47" t="str">
        <f>IF(E4&lt;&gt;"",E4,"")</f>
        <v/>
      </c>
      <c r="O4" s="48"/>
      <c r="P4" s="48"/>
      <c r="Q4" s="49"/>
      <c r="R4" s="1"/>
      <c r="T4" s="44" t="s">
        <v>1</v>
      </c>
      <c r="U4" s="45"/>
      <c r="V4" s="46"/>
      <c r="W4" s="47" t="str">
        <f>IF(E4&lt;&gt;"",E4,"")</f>
        <v/>
      </c>
      <c r="X4" s="48"/>
      <c r="Y4" s="48"/>
      <c r="Z4" s="49"/>
      <c r="AA4" s="1"/>
      <c r="AC4" s="44" t="s">
        <v>1</v>
      </c>
      <c r="AD4" s="45"/>
      <c r="AE4" s="46"/>
      <c r="AF4" s="47" t="str">
        <f>IF(E4&lt;&gt;"",E4,"")</f>
        <v/>
      </c>
      <c r="AG4" s="48"/>
      <c r="AH4" s="48"/>
      <c r="AI4" s="49"/>
      <c r="AJ4" s="1"/>
      <c r="AL4" s="44" t="s">
        <v>1</v>
      </c>
      <c r="AM4" s="45"/>
      <c r="AN4" s="46"/>
      <c r="AO4" s="47" t="str">
        <f>IF(E4&lt;&gt;"",E4,"")</f>
        <v/>
      </c>
      <c r="AP4" s="48"/>
      <c r="AQ4" s="48"/>
      <c r="AR4" s="49"/>
    </row>
    <row r="5" spans="2:44" x14ac:dyDescent="0.3">
      <c r="B5" s="44" t="s">
        <v>2</v>
      </c>
      <c r="C5" s="45"/>
      <c r="D5" s="46"/>
      <c r="E5" s="22" t="s">
        <v>21</v>
      </c>
      <c r="F5" s="23"/>
      <c r="G5" s="23"/>
      <c r="H5" s="24"/>
      <c r="I5" s="1"/>
      <c r="K5" s="44" t="s">
        <v>2</v>
      </c>
      <c r="L5" s="45"/>
      <c r="M5" s="46"/>
      <c r="N5" s="47" t="str">
        <f>IF(E5&lt;&gt;"",E5,"")</f>
        <v>13</v>
      </c>
      <c r="O5" s="48"/>
      <c r="P5" s="48"/>
      <c r="Q5" s="49"/>
      <c r="R5" s="1"/>
      <c r="T5" s="44" t="s">
        <v>2</v>
      </c>
      <c r="U5" s="45"/>
      <c r="V5" s="46"/>
      <c r="W5" s="47" t="str">
        <f>IF(E5&lt;&gt;"",E5,"")</f>
        <v>13</v>
      </c>
      <c r="X5" s="48"/>
      <c r="Y5" s="48"/>
      <c r="Z5" s="49"/>
      <c r="AA5" s="1"/>
      <c r="AC5" s="44" t="s">
        <v>2</v>
      </c>
      <c r="AD5" s="45"/>
      <c r="AE5" s="46"/>
      <c r="AF5" s="47" t="str">
        <f>IF(E5&lt;&gt;"",E5,"")</f>
        <v>13</v>
      </c>
      <c r="AG5" s="48"/>
      <c r="AH5" s="48"/>
      <c r="AI5" s="49"/>
      <c r="AJ5" s="1"/>
      <c r="AL5" s="44" t="s">
        <v>2</v>
      </c>
      <c r="AM5" s="45"/>
      <c r="AN5" s="46"/>
      <c r="AO5" s="47" t="str">
        <f>IF(E5&lt;&gt;"",E5,"")</f>
        <v>13</v>
      </c>
      <c r="AP5" s="48"/>
      <c r="AQ5" s="48"/>
      <c r="AR5" s="49"/>
    </row>
    <row r="6" spans="2:44" x14ac:dyDescent="0.3">
      <c r="B6" s="44" t="s">
        <v>3</v>
      </c>
      <c r="C6" s="45"/>
      <c r="D6" s="46"/>
      <c r="E6" s="22"/>
      <c r="F6" s="23"/>
      <c r="G6" s="23"/>
      <c r="H6" s="24"/>
      <c r="I6" s="1"/>
      <c r="K6" s="44" t="s">
        <v>3</v>
      </c>
      <c r="L6" s="45"/>
      <c r="M6" s="46"/>
      <c r="N6" s="47" t="str">
        <f>IF(E6&lt;&gt;"",E6,"")</f>
        <v/>
      </c>
      <c r="O6" s="48"/>
      <c r="P6" s="48"/>
      <c r="Q6" s="49"/>
      <c r="R6" s="1"/>
      <c r="T6" s="44" t="s">
        <v>3</v>
      </c>
      <c r="U6" s="45"/>
      <c r="V6" s="46"/>
      <c r="W6" s="47" t="str">
        <f>IF(E6&lt;&gt;"",E6,"")</f>
        <v/>
      </c>
      <c r="X6" s="48"/>
      <c r="Y6" s="48"/>
      <c r="Z6" s="49"/>
      <c r="AA6" s="1"/>
      <c r="AC6" s="44" t="s">
        <v>3</v>
      </c>
      <c r="AD6" s="45"/>
      <c r="AE6" s="46"/>
      <c r="AF6" s="47" t="str">
        <f>IF(E6&lt;&gt;"",E6,"")</f>
        <v/>
      </c>
      <c r="AG6" s="48"/>
      <c r="AH6" s="48"/>
      <c r="AI6" s="49"/>
      <c r="AJ6" s="1"/>
      <c r="AL6" s="44" t="s">
        <v>3</v>
      </c>
      <c r="AM6" s="45"/>
      <c r="AN6" s="46"/>
      <c r="AO6" s="47" t="str">
        <f>IF(E6&lt;&gt;"",E6,"")</f>
        <v/>
      </c>
      <c r="AP6" s="48"/>
      <c r="AQ6" s="48"/>
      <c r="AR6" s="49"/>
    </row>
    <row r="7" spans="2:44" ht="15" thickBot="1" x14ac:dyDescent="0.35">
      <c r="B7" s="50" t="s">
        <v>4</v>
      </c>
      <c r="C7" s="51"/>
      <c r="D7" s="52"/>
      <c r="E7" s="25" t="s">
        <v>22</v>
      </c>
      <c r="F7" s="26"/>
      <c r="G7" s="26"/>
      <c r="H7" s="27"/>
      <c r="I7" s="1"/>
      <c r="K7" s="50" t="s">
        <v>4</v>
      </c>
      <c r="L7" s="51"/>
      <c r="M7" s="52"/>
      <c r="N7" s="53" t="str">
        <f>IF(E7&lt;&gt;"",E7,"")</f>
        <v>00:1E:C0:3B:F5:9D</v>
      </c>
      <c r="O7" s="54"/>
      <c r="P7" s="54"/>
      <c r="Q7" s="55"/>
      <c r="R7" s="1"/>
      <c r="T7" s="50" t="s">
        <v>4</v>
      </c>
      <c r="U7" s="51"/>
      <c r="V7" s="52"/>
      <c r="W7" s="53" t="str">
        <f>IF(E7&lt;&gt;"",E7,"")</f>
        <v>00:1E:C0:3B:F5:9D</v>
      </c>
      <c r="X7" s="54"/>
      <c r="Y7" s="54"/>
      <c r="Z7" s="55"/>
      <c r="AA7" s="1"/>
      <c r="AC7" s="50" t="s">
        <v>4</v>
      </c>
      <c r="AD7" s="51"/>
      <c r="AE7" s="52"/>
      <c r="AF7" s="53" t="str">
        <f>IF(E7&lt;&gt;"",E7,"")</f>
        <v>00:1E:C0:3B:F5:9D</v>
      </c>
      <c r="AG7" s="54"/>
      <c r="AH7" s="54"/>
      <c r="AI7" s="55"/>
      <c r="AJ7" s="1"/>
      <c r="AL7" s="50" t="s">
        <v>4</v>
      </c>
      <c r="AM7" s="51"/>
      <c r="AN7" s="52"/>
      <c r="AO7" s="53" t="str">
        <f>IF(E7&lt;&gt;"",E7,"")</f>
        <v>00:1E:C0:3B:F5:9D</v>
      </c>
      <c r="AP7" s="54"/>
      <c r="AQ7" s="54"/>
      <c r="AR7" s="55"/>
    </row>
    <row r="8" spans="2:44" ht="15" thickBot="1" x14ac:dyDescent="0.35">
      <c r="B8" s="4"/>
      <c r="C8" s="5"/>
      <c r="K8" s="4"/>
      <c r="L8" s="5"/>
      <c r="M8" s="3"/>
      <c r="Q8" s="2"/>
      <c r="T8" s="4"/>
      <c r="U8" s="5"/>
      <c r="V8" s="3"/>
      <c r="Z8" s="2"/>
      <c r="AC8" s="4"/>
      <c r="AD8" s="5"/>
      <c r="AE8" s="3"/>
      <c r="AI8" s="2"/>
      <c r="AL8" s="4"/>
      <c r="AM8" s="5"/>
      <c r="AN8" s="3"/>
      <c r="AR8" s="2"/>
    </row>
    <row r="9" spans="2:44" x14ac:dyDescent="0.3">
      <c r="B9" s="59" t="s">
        <v>5</v>
      </c>
      <c r="C9" s="60"/>
      <c r="D9" s="61"/>
      <c r="E9" s="28" t="s">
        <v>23</v>
      </c>
      <c r="F9" s="29"/>
      <c r="G9" s="29"/>
      <c r="H9" s="30"/>
      <c r="I9" s="6"/>
      <c r="K9" s="59" t="s">
        <v>5</v>
      </c>
      <c r="L9" s="60"/>
      <c r="M9" s="61"/>
      <c r="N9" s="41" t="str">
        <f>IF(E9&lt;&gt;"",E9,"")</f>
        <v>2026/03/19</v>
      </c>
      <c r="O9" s="42"/>
      <c r="P9" s="42"/>
      <c r="Q9" s="43"/>
      <c r="R9" s="6"/>
      <c r="T9" s="59" t="s">
        <v>5</v>
      </c>
      <c r="U9" s="60"/>
      <c r="V9" s="61"/>
      <c r="W9" s="41" t="str">
        <f>IF(E9&lt;&gt;"",E9,"")</f>
        <v>2026/03/19</v>
      </c>
      <c r="X9" s="42"/>
      <c r="Y9" s="42"/>
      <c r="Z9" s="43"/>
      <c r="AA9" s="6"/>
      <c r="AC9" s="59" t="s">
        <v>5</v>
      </c>
      <c r="AD9" s="60"/>
      <c r="AE9" s="61"/>
      <c r="AF9" s="41" t="str">
        <f>IF(E9&lt;&gt;"",E9,"")</f>
        <v>2026/03/19</v>
      </c>
      <c r="AG9" s="42"/>
      <c r="AH9" s="42"/>
      <c r="AI9" s="43"/>
      <c r="AJ9" s="6"/>
      <c r="AL9" s="59" t="s">
        <v>5</v>
      </c>
      <c r="AM9" s="60"/>
      <c r="AN9" s="61"/>
      <c r="AO9" s="41" t="str">
        <f>IF(E9&lt;&gt;"",E9,"")</f>
        <v>2026/03/19</v>
      </c>
      <c r="AP9" s="42"/>
      <c r="AQ9" s="42"/>
      <c r="AR9" s="43"/>
    </row>
    <row r="10" spans="2:44" x14ac:dyDescent="0.3">
      <c r="B10" s="44" t="s">
        <v>6</v>
      </c>
      <c r="C10" s="45"/>
      <c r="D10" s="46"/>
      <c r="E10" s="22" t="s">
        <v>24</v>
      </c>
      <c r="F10" s="23"/>
      <c r="G10" s="23"/>
      <c r="H10" s="24"/>
      <c r="I10" s="1"/>
      <c r="K10" s="44" t="s">
        <v>6</v>
      </c>
      <c r="L10" s="45"/>
      <c r="M10" s="46"/>
      <c r="N10" s="47" t="str">
        <f>IF(E10&lt;&gt;"",E10,"")</f>
        <v>Marco Ramírez</v>
      </c>
      <c r="O10" s="48"/>
      <c r="P10" s="48"/>
      <c r="Q10" s="49"/>
      <c r="R10" s="1"/>
      <c r="T10" s="44" t="s">
        <v>6</v>
      </c>
      <c r="U10" s="45"/>
      <c r="V10" s="46"/>
      <c r="W10" s="47" t="str">
        <f>IF(E10&lt;&gt;"",E10,"")</f>
        <v>Marco Ramírez</v>
      </c>
      <c r="X10" s="48"/>
      <c r="Y10" s="48"/>
      <c r="Z10" s="49"/>
      <c r="AA10" s="1"/>
      <c r="AC10" s="44" t="s">
        <v>6</v>
      </c>
      <c r="AD10" s="45"/>
      <c r="AE10" s="46"/>
      <c r="AF10" s="47" t="str">
        <f>IF(E10&lt;&gt;"",E10,"")</f>
        <v>Marco Ramírez</v>
      </c>
      <c r="AG10" s="48"/>
      <c r="AH10" s="48"/>
      <c r="AI10" s="49"/>
      <c r="AJ10" s="1"/>
      <c r="AL10" s="44" t="s">
        <v>6</v>
      </c>
      <c r="AM10" s="45"/>
      <c r="AN10" s="46"/>
      <c r="AO10" s="47" t="str">
        <f>IF(E10&lt;&gt;"",E10,"")</f>
        <v>Marco Ramírez</v>
      </c>
      <c r="AP10" s="48"/>
      <c r="AQ10" s="48"/>
      <c r="AR10" s="49"/>
    </row>
    <row r="11" spans="2:44" ht="15" thickBot="1" x14ac:dyDescent="0.35">
      <c r="B11" s="50" t="s">
        <v>7</v>
      </c>
      <c r="C11" s="51"/>
      <c r="D11" s="52"/>
      <c r="E11" s="53" t="s">
        <v>8</v>
      </c>
      <c r="F11" s="54"/>
      <c r="G11" s="54"/>
      <c r="H11" s="55"/>
      <c r="I11" s="1"/>
      <c r="K11" s="50" t="s">
        <v>7</v>
      </c>
      <c r="L11" s="51"/>
      <c r="M11" s="52"/>
      <c r="N11" s="53" t="str">
        <f>IF(E11&lt;&gt;"",E11,"")</f>
        <v>Por Definer</v>
      </c>
      <c r="O11" s="54"/>
      <c r="P11" s="54"/>
      <c r="Q11" s="55"/>
      <c r="R11" s="1"/>
      <c r="T11" s="50" t="s">
        <v>7</v>
      </c>
      <c r="U11" s="51"/>
      <c r="V11" s="52"/>
      <c r="W11" s="53" t="str">
        <f>IF(E11&lt;&gt;"",E11,"")</f>
        <v>Por Definer</v>
      </c>
      <c r="X11" s="54"/>
      <c r="Y11" s="54"/>
      <c r="Z11" s="55"/>
      <c r="AA11" s="1"/>
      <c r="AC11" s="50" t="s">
        <v>7</v>
      </c>
      <c r="AD11" s="51"/>
      <c r="AE11" s="52"/>
      <c r="AF11" s="53" t="str">
        <f>IF(E11&lt;&gt;"",E11,"")</f>
        <v>Por Definer</v>
      </c>
      <c r="AG11" s="54"/>
      <c r="AH11" s="54"/>
      <c r="AI11" s="55"/>
      <c r="AJ11" s="1"/>
      <c r="AL11" s="50" t="s">
        <v>7</v>
      </c>
      <c r="AM11" s="51"/>
      <c r="AN11" s="52"/>
      <c r="AO11" s="53" t="str">
        <f>IF(E11&lt;&gt;"",E11,"")</f>
        <v>Por Definer</v>
      </c>
      <c r="AP11" s="54"/>
      <c r="AQ11" s="54"/>
      <c r="AR11" s="55"/>
    </row>
    <row r="13" spans="2:44" ht="15" thickBot="1" x14ac:dyDescent="0.35"/>
    <row r="14" spans="2:44" s="2" customFormat="1" x14ac:dyDescent="0.3">
      <c r="B14" s="7" t="s">
        <v>9</v>
      </c>
      <c r="C14" s="8" t="s">
        <v>11</v>
      </c>
      <c r="D14" s="9" t="s">
        <v>29</v>
      </c>
      <c r="F14" s="7" t="s">
        <v>9</v>
      </c>
      <c r="G14" s="8" t="s">
        <v>11</v>
      </c>
      <c r="H14" s="9" t="s">
        <v>30</v>
      </c>
      <c r="I14" s="10"/>
      <c r="K14" s="7" t="s">
        <v>9</v>
      </c>
      <c r="L14" s="8" t="s">
        <v>11</v>
      </c>
      <c r="M14" s="9" t="s">
        <v>31</v>
      </c>
      <c r="O14" s="7" t="s">
        <v>9</v>
      </c>
      <c r="P14" s="8" t="s">
        <v>11</v>
      </c>
      <c r="Q14" s="9" t="s">
        <v>32</v>
      </c>
      <c r="R14" s="10"/>
      <c r="T14" s="7" t="s">
        <v>9</v>
      </c>
      <c r="U14" s="8" t="s">
        <v>11</v>
      </c>
      <c r="V14" s="9" t="s">
        <v>33</v>
      </c>
      <c r="X14" s="7" t="s">
        <v>9</v>
      </c>
      <c r="Y14" s="8" t="s">
        <v>11</v>
      </c>
      <c r="Z14" s="9" t="s">
        <v>34</v>
      </c>
      <c r="AA14" s="10"/>
      <c r="AC14" s="7" t="s">
        <v>9</v>
      </c>
      <c r="AD14" s="8" t="s">
        <v>11</v>
      </c>
      <c r="AE14" s="9" t="s">
        <v>35</v>
      </c>
      <c r="AG14" s="7" t="s">
        <v>9</v>
      </c>
      <c r="AH14" s="8" t="s">
        <v>11</v>
      </c>
      <c r="AI14" s="9" t="s">
        <v>36</v>
      </c>
      <c r="AJ14" s="10"/>
      <c r="AL14" s="7" t="s">
        <v>9</v>
      </c>
      <c r="AM14" s="8" t="s">
        <v>11</v>
      </c>
      <c r="AN14" s="9" t="s">
        <v>37</v>
      </c>
      <c r="AP14" s="7" t="s">
        <v>9</v>
      </c>
      <c r="AQ14" s="8" t="s">
        <v>11</v>
      </c>
      <c r="AR14" s="9" t="s">
        <v>38</v>
      </c>
    </row>
    <row r="15" spans="2:44" x14ac:dyDescent="0.3">
      <c r="B15" s="11">
        <v>1</v>
      </c>
      <c r="C15" s="12">
        <v>1</v>
      </c>
      <c r="D15" s="13">
        <v>40</v>
      </c>
      <c r="F15" s="11">
        <v>1</v>
      </c>
      <c r="G15" s="12">
        <v>2</v>
      </c>
      <c r="H15" s="13">
        <v>130</v>
      </c>
      <c r="I15" s="14"/>
      <c r="K15" s="11">
        <v>1</v>
      </c>
      <c r="L15" s="12">
        <v>3</v>
      </c>
      <c r="M15" s="13">
        <v>148</v>
      </c>
      <c r="O15" s="11">
        <v>1</v>
      </c>
      <c r="P15" s="12">
        <v>4</v>
      </c>
      <c r="Q15" s="13">
        <v>154</v>
      </c>
      <c r="R15" s="14"/>
      <c r="T15" s="11">
        <v>1</v>
      </c>
      <c r="U15" s="12">
        <v>5</v>
      </c>
      <c r="V15" s="13">
        <v>467</v>
      </c>
      <c r="X15" s="11">
        <v>1</v>
      </c>
      <c r="Y15" s="12">
        <v>6</v>
      </c>
      <c r="Z15" s="13">
        <v>737</v>
      </c>
      <c r="AA15" s="14"/>
      <c r="AC15" s="11">
        <v>1</v>
      </c>
      <c r="AD15" s="12">
        <v>7</v>
      </c>
      <c r="AE15" s="13">
        <v>707</v>
      </c>
      <c r="AG15" s="11">
        <v>1</v>
      </c>
      <c r="AH15" s="12">
        <v>8</v>
      </c>
      <c r="AI15" s="13">
        <v>315</v>
      </c>
      <c r="AJ15" s="14"/>
      <c r="AL15" s="11">
        <v>1</v>
      </c>
      <c r="AM15" s="12">
        <v>9</v>
      </c>
      <c r="AN15" s="13">
        <v>1103</v>
      </c>
      <c r="AP15" s="11">
        <v>1</v>
      </c>
      <c r="AQ15" s="12">
        <v>10</v>
      </c>
      <c r="AR15" s="13">
        <v>13606</v>
      </c>
    </row>
    <row r="16" spans="2:44" x14ac:dyDescent="0.3">
      <c r="B16" s="11">
        <v>2</v>
      </c>
      <c r="C16" s="12">
        <v>1</v>
      </c>
      <c r="D16" s="13">
        <v>39</v>
      </c>
      <c r="F16" s="11">
        <v>2</v>
      </c>
      <c r="G16" s="12">
        <v>2</v>
      </c>
      <c r="H16" s="13">
        <v>129</v>
      </c>
      <c r="I16" s="14"/>
      <c r="K16" s="11">
        <v>2</v>
      </c>
      <c r="L16" s="12">
        <v>3</v>
      </c>
      <c r="M16" s="13">
        <v>147</v>
      </c>
      <c r="O16" s="11">
        <v>2</v>
      </c>
      <c r="P16" s="12">
        <v>4</v>
      </c>
      <c r="Q16" s="13">
        <v>153</v>
      </c>
      <c r="R16" s="14"/>
      <c r="T16" s="11">
        <v>2</v>
      </c>
      <c r="U16" s="12">
        <v>5</v>
      </c>
      <c r="V16" s="13">
        <v>463</v>
      </c>
      <c r="X16" s="11">
        <v>2</v>
      </c>
      <c r="Y16" s="12">
        <v>6</v>
      </c>
      <c r="Z16" s="13">
        <v>730</v>
      </c>
      <c r="AA16" s="14"/>
      <c r="AC16" s="11">
        <v>2</v>
      </c>
      <c r="AD16" s="12">
        <v>7</v>
      </c>
      <c r="AE16" s="13">
        <v>700</v>
      </c>
      <c r="AG16" s="11">
        <v>2</v>
      </c>
      <c r="AH16" s="12">
        <v>8</v>
      </c>
      <c r="AI16" s="13">
        <v>313</v>
      </c>
      <c r="AJ16" s="14"/>
      <c r="AL16" s="11">
        <v>2</v>
      </c>
      <c r="AM16" s="12">
        <v>9</v>
      </c>
      <c r="AN16" s="13">
        <v>1095</v>
      </c>
      <c r="AP16" s="11">
        <v>2</v>
      </c>
      <c r="AQ16" s="12">
        <v>10</v>
      </c>
      <c r="AR16" s="13">
        <v>13603</v>
      </c>
    </row>
    <row r="17" spans="2:44" x14ac:dyDescent="0.3">
      <c r="B17" s="11">
        <v>3</v>
      </c>
      <c r="C17" s="12">
        <v>1</v>
      </c>
      <c r="D17" s="13">
        <v>39</v>
      </c>
      <c r="F17" s="11">
        <v>3</v>
      </c>
      <c r="G17" s="12">
        <v>2</v>
      </c>
      <c r="H17" s="13">
        <v>129</v>
      </c>
      <c r="I17" s="14"/>
      <c r="K17" s="11">
        <v>3</v>
      </c>
      <c r="L17" s="12">
        <v>3</v>
      </c>
      <c r="M17" s="13">
        <v>147</v>
      </c>
      <c r="O17" s="11">
        <v>3</v>
      </c>
      <c r="P17" s="12">
        <v>4</v>
      </c>
      <c r="Q17" s="13">
        <v>153</v>
      </c>
      <c r="R17" s="14"/>
      <c r="T17" s="11">
        <v>3</v>
      </c>
      <c r="U17" s="12">
        <v>5</v>
      </c>
      <c r="V17" s="13">
        <v>463</v>
      </c>
      <c r="X17" s="11">
        <v>3</v>
      </c>
      <c r="Y17" s="12">
        <v>6</v>
      </c>
      <c r="Z17" s="13">
        <v>730</v>
      </c>
      <c r="AA17" s="14"/>
      <c r="AC17" s="11">
        <v>3</v>
      </c>
      <c r="AD17" s="12">
        <v>7</v>
      </c>
      <c r="AE17" s="13">
        <v>700</v>
      </c>
      <c r="AG17" s="11">
        <v>3</v>
      </c>
      <c r="AH17" s="12">
        <v>8</v>
      </c>
      <c r="AI17" s="13">
        <v>313</v>
      </c>
      <c r="AJ17" s="14"/>
      <c r="AL17" s="11">
        <v>3</v>
      </c>
      <c r="AM17" s="12">
        <v>9</v>
      </c>
      <c r="AN17" s="13">
        <v>1096</v>
      </c>
      <c r="AP17" s="11">
        <v>3</v>
      </c>
      <c r="AQ17" s="12">
        <v>10</v>
      </c>
      <c r="AR17" s="13">
        <v>13593</v>
      </c>
    </row>
    <row r="18" spans="2:44" x14ac:dyDescent="0.3">
      <c r="B18" s="11">
        <v>4</v>
      </c>
      <c r="C18" s="12">
        <v>1</v>
      </c>
      <c r="D18" s="13">
        <v>39</v>
      </c>
      <c r="F18" s="11">
        <v>4</v>
      </c>
      <c r="G18" s="12">
        <v>2</v>
      </c>
      <c r="H18" s="13">
        <v>129</v>
      </c>
      <c r="I18" s="14"/>
      <c r="K18" s="11">
        <v>4</v>
      </c>
      <c r="L18" s="12">
        <v>3</v>
      </c>
      <c r="M18" s="13">
        <v>148</v>
      </c>
      <c r="O18" s="11">
        <v>4</v>
      </c>
      <c r="P18" s="12">
        <v>4</v>
      </c>
      <c r="Q18" s="13">
        <v>153</v>
      </c>
      <c r="R18" s="14"/>
      <c r="T18" s="11">
        <v>4</v>
      </c>
      <c r="U18" s="12">
        <v>5</v>
      </c>
      <c r="V18" s="13">
        <v>464</v>
      </c>
      <c r="X18" s="11">
        <v>4</v>
      </c>
      <c r="Y18" s="12">
        <v>6</v>
      </c>
      <c r="Z18" s="13">
        <v>731</v>
      </c>
      <c r="AA18" s="14"/>
      <c r="AC18" s="11">
        <v>4</v>
      </c>
      <c r="AD18" s="12">
        <v>7</v>
      </c>
      <c r="AE18" s="13">
        <v>701</v>
      </c>
      <c r="AG18" s="11">
        <v>4</v>
      </c>
      <c r="AH18" s="12">
        <v>8</v>
      </c>
      <c r="AI18" s="13">
        <v>314</v>
      </c>
      <c r="AJ18" s="14"/>
      <c r="AL18" s="11">
        <v>4</v>
      </c>
      <c r="AM18" s="12">
        <v>9</v>
      </c>
      <c r="AN18" s="13">
        <v>1096</v>
      </c>
      <c r="AP18" s="11">
        <v>4</v>
      </c>
      <c r="AQ18" s="12">
        <v>10</v>
      </c>
      <c r="AR18" s="13">
        <v>13678</v>
      </c>
    </row>
    <row r="19" spans="2:44" x14ac:dyDescent="0.3">
      <c r="B19" s="11">
        <v>5</v>
      </c>
      <c r="C19" s="12">
        <v>1</v>
      </c>
      <c r="D19" s="13">
        <v>39</v>
      </c>
      <c r="F19" s="11">
        <v>5</v>
      </c>
      <c r="G19" s="12">
        <v>2</v>
      </c>
      <c r="H19" s="13">
        <v>128</v>
      </c>
      <c r="I19" s="14"/>
      <c r="K19" s="11">
        <v>5</v>
      </c>
      <c r="L19" s="12">
        <v>3</v>
      </c>
      <c r="M19" s="13">
        <v>147</v>
      </c>
      <c r="O19" s="11">
        <v>5</v>
      </c>
      <c r="P19" s="12">
        <v>4</v>
      </c>
      <c r="Q19" s="13">
        <v>152</v>
      </c>
      <c r="R19" s="14"/>
      <c r="T19" s="11">
        <v>5</v>
      </c>
      <c r="U19" s="12">
        <v>5</v>
      </c>
      <c r="V19" s="13">
        <v>459</v>
      </c>
      <c r="X19" s="11">
        <v>5</v>
      </c>
      <c r="Y19" s="12">
        <v>6</v>
      </c>
      <c r="Z19" s="13">
        <v>725</v>
      </c>
      <c r="AA19" s="14"/>
      <c r="AC19" s="11">
        <v>5</v>
      </c>
      <c r="AD19" s="12">
        <v>7</v>
      </c>
      <c r="AE19" s="13">
        <v>696</v>
      </c>
      <c r="AG19" s="11">
        <v>5</v>
      </c>
      <c r="AH19" s="12">
        <v>8</v>
      </c>
      <c r="AI19" s="13">
        <v>312</v>
      </c>
      <c r="AJ19" s="14"/>
      <c r="AL19" s="11">
        <v>5</v>
      </c>
      <c r="AM19" s="12">
        <v>9</v>
      </c>
      <c r="AN19" s="13">
        <v>1085</v>
      </c>
      <c r="AP19" s="11">
        <v>5</v>
      </c>
      <c r="AQ19" s="12">
        <v>10</v>
      </c>
      <c r="AR19" s="13">
        <v>13523</v>
      </c>
    </row>
    <row r="20" spans="2:44" x14ac:dyDescent="0.3">
      <c r="B20" s="11">
        <v>6</v>
      </c>
      <c r="C20" s="12">
        <v>1</v>
      </c>
      <c r="D20" s="13">
        <v>41</v>
      </c>
      <c r="F20" s="11">
        <v>6</v>
      </c>
      <c r="G20" s="12">
        <v>2</v>
      </c>
      <c r="H20" s="13">
        <v>134</v>
      </c>
      <c r="I20" s="14"/>
      <c r="K20" s="11">
        <v>6</v>
      </c>
      <c r="L20" s="12">
        <v>3</v>
      </c>
      <c r="M20" s="13">
        <v>154</v>
      </c>
      <c r="O20" s="11">
        <v>6</v>
      </c>
      <c r="P20" s="12">
        <v>4</v>
      </c>
      <c r="Q20" s="13">
        <v>162</v>
      </c>
      <c r="R20" s="14"/>
      <c r="T20" s="11">
        <v>6</v>
      </c>
      <c r="U20" s="12">
        <v>5</v>
      </c>
      <c r="V20" s="13">
        <v>489</v>
      </c>
      <c r="X20" s="11">
        <v>6</v>
      </c>
      <c r="Y20" s="12">
        <v>6</v>
      </c>
      <c r="Z20" s="13">
        <v>767</v>
      </c>
      <c r="AA20" s="14"/>
      <c r="AC20" s="11">
        <v>6</v>
      </c>
      <c r="AD20" s="12">
        <v>7</v>
      </c>
      <c r="AE20" s="13">
        <v>732</v>
      </c>
      <c r="AG20" s="11">
        <v>6</v>
      </c>
      <c r="AH20" s="12">
        <v>8</v>
      </c>
      <c r="AI20" s="13">
        <v>327</v>
      </c>
      <c r="AJ20" s="14"/>
      <c r="AL20" s="11">
        <v>6</v>
      </c>
      <c r="AM20" s="12">
        <v>9</v>
      </c>
      <c r="AN20" s="13">
        <v>1149</v>
      </c>
      <c r="AP20" s="11">
        <v>6</v>
      </c>
      <c r="AQ20" s="12">
        <v>10</v>
      </c>
      <c r="AR20" s="13">
        <v>14131</v>
      </c>
    </row>
    <row r="21" spans="2:44" x14ac:dyDescent="0.3">
      <c r="B21" s="11">
        <v>7</v>
      </c>
      <c r="C21" s="12">
        <v>1</v>
      </c>
      <c r="D21" s="13">
        <v>42</v>
      </c>
      <c r="F21" s="11">
        <v>7</v>
      </c>
      <c r="G21" s="12">
        <v>2</v>
      </c>
      <c r="H21" s="13">
        <v>136</v>
      </c>
      <c r="I21" s="14"/>
      <c r="K21" s="11">
        <v>7</v>
      </c>
      <c r="L21" s="12">
        <v>3</v>
      </c>
      <c r="M21" s="13">
        <v>157</v>
      </c>
      <c r="O21" s="11">
        <v>7</v>
      </c>
      <c r="P21" s="12">
        <v>4</v>
      </c>
      <c r="Q21" s="13">
        <v>165</v>
      </c>
      <c r="R21" s="14"/>
      <c r="T21" s="11">
        <v>7</v>
      </c>
      <c r="U21" s="12">
        <v>5</v>
      </c>
      <c r="V21" s="13">
        <v>496</v>
      </c>
      <c r="X21" s="11">
        <v>7</v>
      </c>
      <c r="Y21" s="12">
        <v>6</v>
      </c>
      <c r="Z21" s="13">
        <v>778</v>
      </c>
      <c r="AA21" s="14"/>
      <c r="AC21" s="11">
        <v>7</v>
      </c>
      <c r="AD21" s="12">
        <v>7</v>
      </c>
      <c r="AE21" s="13">
        <v>743</v>
      </c>
      <c r="AG21" s="11">
        <v>7</v>
      </c>
      <c r="AH21" s="12">
        <v>8</v>
      </c>
      <c r="AI21" s="13">
        <v>331</v>
      </c>
      <c r="AJ21" s="14"/>
      <c r="AL21" s="11">
        <v>7</v>
      </c>
      <c r="AM21" s="12">
        <v>9</v>
      </c>
      <c r="AN21" s="13">
        <v>1165</v>
      </c>
      <c r="AP21" s="11">
        <v>7</v>
      </c>
      <c r="AQ21" s="12">
        <v>10</v>
      </c>
      <c r="AR21" s="13">
        <v>14380</v>
      </c>
    </row>
    <row r="22" spans="2:44" x14ac:dyDescent="0.3">
      <c r="B22" s="11">
        <v>8</v>
      </c>
      <c r="C22" s="12">
        <v>1</v>
      </c>
      <c r="D22" s="13">
        <v>42</v>
      </c>
      <c r="F22" s="11">
        <v>8</v>
      </c>
      <c r="G22" s="12">
        <v>2</v>
      </c>
      <c r="H22" s="13">
        <v>136</v>
      </c>
      <c r="I22" s="14"/>
      <c r="K22" s="11">
        <v>8</v>
      </c>
      <c r="L22" s="12">
        <v>3</v>
      </c>
      <c r="M22" s="13">
        <v>157</v>
      </c>
      <c r="O22" s="11">
        <v>8</v>
      </c>
      <c r="P22" s="12">
        <v>4</v>
      </c>
      <c r="Q22" s="13">
        <v>165</v>
      </c>
      <c r="R22" s="14"/>
      <c r="T22" s="11">
        <v>8</v>
      </c>
      <c r="U22" s="12">
        <v>5</v>
      </c>
      <c r="V22" s="13">
        <v>497</v>
      </c>
      <c r="X22" s="11">
        <v>8</v>
      </c>
      <c r="Y22" s="12">
        <v>6</v>
      </c>
      <c r="Z22" s="13">
        <v>779</v>
      </c>
      <c r="AA22" s="14"/>
      <c r="AC22" s="11">
        <v>8</v>
      </c>
      <c r="AD22" s="12">
        <v>7</v>
      </c>
      <c r="AE22" s="13">
        <v>744</v>
      </c>
      <c r="AG22" s="11">
        <v>8</v>
      </c>
      <c r="AH22" s="12">
        <v>8</v>
      </c>
      <c r="AI22" s="13">
        <v>332</v>
      </c>
      <c r="AJ22" s="14"/>
      <c r="AL22" s="11">
        <v>8</v>
      </c>
      <c r="AM22" s="12">
        <v>9</v>
      </c>
      <c r="AN22" s="13">
        <v>1168</v>
      </c>
      <c r="AP22" s="11">
        <v>8</v>
      </c>
      <c r="AQ22" s="12">
        <v>10</v>
      </c>
      <c r="AR22" s="13">
        <v>14410</v>
      </c>
    </row>
    <row r="23" spans="2:44" x14ac:dyDescent="0.3">
      <c r="B23" s="11">
        <v>9</v>
      </c>
      <c r="C23" s="12">
        <v>1</v>
      </c>
      <c r="D23" s="13">
        <v>42</v>
      </c>
      <c r="F23" s="11">
        <v>9</v>
      </c>
      <c r="G23" s="12">
        <v>2</v>
      </c>
      <c r="H23" s="13">
        <v>136</v>
      </c>
      <c r="I23" s="14"/>
      <c r="K23" s="11">
        <v>9</v>
      </c>
      <c r="L23" s="12">
        <v>3</v>
      </c>
      <c r="M23" s="13">
        <v>157</v>
      </c>
      <c r="O23" s="11">
        <v>9</v>
      </c>
      <c r="P23" s="12">
        <v>4</v>
      </c>
      <c r="Q23" s="13">
        <v>164</v>
      </c>
      <c r="R23" s="14"/>
      <c r="T23" s="11">
        <v>9</v>
      </c>
      <c r="U23" s="12">
        <v>5</v>
      </c>
      <c r="V23" s="13">
        <v>496</v>
      </c>
      <c r="X23" s="11">
        <v>9</v>
      </c>
      <c r="Y23" s="12">
        <v>6</v>
      </c>
      <c r="Z23" s="13">
        <v>777</v>
      </c>
      <c r="AA23" s="14"/>
      <c r="AC23" s="11">
        <v>9</v>
      </c>
      <c r="AD23" s="12">
        <v>7</v>
      </c>
      <c r="AE23" s="13">
        <v>742</v>
      </c>
      <c r="AG23" s="11">
        <v>9</v>
      </c>
      <c r="AH23" s="12">
        <v>8</v>
      </c>
      <c r="AI23" s="13">
        <v>331</v>
      </c>
      <c r="AJ23" s="14"/>
      <c r="AL23" s="11">
        <v>9</v>
      </c>
      <c r="AM23" s="12">
        <v>9</v>
      </c>
      <c r="AN23" s="13">
        <v>1164</v>
      </c>
      <c r="AP23" s="11">
        <v>9</v>
      </c>
      <c r="AQ23" s="12">
        <v>10</v>
      </c>
      <c r="AR23" s="13">
        <v>14390</v>
      </c>
    </row>
    <row r="24" spans="2:44" x14ac:dyDescent="0.3">
      <c r="B24" s="11">
        <v>10</v>
      </c>
      <c r="C24" s="12">
        <v>1</v>
      </c>
      <c r="D24" s="13">
        <v>42</v>
      </c>
      <c r="F24" s="11">
        <v>10</v>
      </c>
      <c r="G24" s="12">
        <v>2</v>
      </c>
      <c r="H24" s="13">
        <v>136</v>
      </c>
      <c r="I24" s="14"/>
      <c r="K24" s="11">
        <v>10</v>
      </c>
      <c r="L24" s="12">
        <v>3</v>
      </c>
      <c r="M24" s="13">
        <v>157</v>
      </c>
      <c r="O24" s="11">
        <v>10</v>
      </c>
      <c r="P24" s="12">
        <v>4</v>
      </c>
      <c r="Q24" s="13">
        <v>164</v>
      </c>
      <c r="R24" s="14"/>
      <c r="T24" s="11">
        <v>10</v>
      </c>
      <c r="U24" s="12">
        <v>5</v>
      </c>
      <c r="V24" s="13">
        <v>495</v>
      </c>
      <c r="X24" s="11">
        <v>10</v>
      </c>
      <c r="Y24" s="12">
        <v>6</v>
      </c>
      <c r="Z24" s="13">
        <v>777</v>
      </c>
      <c r="AA24" s="14"/>
      <c r="AC24" s="11">
        <v>10</v>
      </c>
      <c r="AD24" s="12">
        <v>7</v>
      </c>
      <c r="AE24" s="13">
        <v>741</v>
      </c>
      <c r="AG24" s="11">
        <v>10</v>
      </c>
      <c r="AH24" s="12">
        <v>8</v>
      </c>
      <c r="AI24" s="13">
        <v>330</v>
      </c>
      <c r="AJ24" s="14"/>
      <c r="AL24" s="11">
        <v>10</v>
      </c>
      <c r="AM24" s="12">
        <v>9</v>
      </c>
      <c r="AN24" s="13">
        <v>1163</v>
      </c>
      <c r="AP24" s="11">
        <v>10</v>
      </c>
      <c r="AQ24" s="12">
        <v>10</v>
      </c>
      <c r="AR24" s="13">
        <v>14390</v>
      </c>
    </row>
    <row r="25" spans="2:44" x14ac:dyDescent="0.3">
      <c r="B25" s="11">
        <v>11</v>
      </c>
      <c r="C25" s="12">
        <v>1</v>
      </c>
      <c r="D25" s="13">
        <v>47</v>
      </c>
      <c r="F25" s="11">
        <v>11</v>
      </c>
      <c r="G25" s="12">
        <v>2</v>
      </c>
      <c r="H25" s="13">
        <v>155</v>
      </c>
      <c r="I25" s="14"/>
      <c r="K25" s="11">
        <v>11</v>
      </c>
      <c r="L25" s="12">
        <v>3</v>
      </c>
      <c r="M25" s="13">
        <v>179</v>
      </c>
      <c r="O25" s="11">
        <v>11</v>
      </c>
      <c r="P25" s="12">
        <v>4</v>
      </c>
      <c r="Q25" s="13">
        <v>186</v>
      </c>
      <c r="R25" s="14"/>
      <c r="T25" s="11">
        <v>11</v>
      </c>
      <c r="U25" s="12">
        <v>5</v>
      </c>
      <c r="V25" s="13">
        <v>560</v>
      </c>
      <c r="X25" s="11">
        <v>11</v>
      </c>
      <c r="Y25" s="12">
        <v>6</v>
      </c>
      <c r="Z25" s="13">
        <v>877</v>
      </c>
      <c r="AA25" s="14"/>
      <c r="AC25" s="11">
        <v>11</v>
      </c>
      <c r="AD25" s="12">
        <v>7</v>
      </c>
      <c r="AE25" s="13">
        <v>831</v>
      </c>
      <c r="AG25" s="11">
        <v>11</v>
      </c>
      <c r="AH25" s="12">
        <v>8</v>
      </c>
      <c r="AI25" s="13">
        <v>370</v>
      </c>
      <c r="AJ25" s="14"/>
      <c r="AL25" s="11">
        <v>11</v>
      </c>
      <c r="AM25" s="12">
        <v>9</v>
      </c>
      <c r="AN25" s="13">
        <v>1313</v>
      </c>
      <c r="AP25" s="11">
        <v>11</v>
      </c>
      <c r="AQ25" s="12">
        <v>10</v>
      </c>
      <c r="AR25" s="13">
        <v>16054</v>
      </c>
    </row>
    <row r="26" spans="2:44" x14ac:dyDescent="0.3">
      <c r="B26" s="11">
        <v>12</v>
      </c>
      <c r="C26" s="12">
        <v>1</v>
      </c>
      <c r="D26" s="13">
        <v>47</v>
      </c>
      <c r="F26" s="11">
        <v>12</v>
      </c>
      <c r="G26" s="12">
        <v>2</v>
      </c>
      <c r="H26" s="13">
        <v>154</v>
      </c>
      <c r="I26" s="14"/>
      <c r="K26" s="11">
        <v>12</v>
      </c>
      <c r="L26" s="12">
        <v>3</v>
      </c>
      <c r="M26" s="13">
        <v>177</v>
      </c>
      <c r="O26" s="11">
        <v>12</v>
      </c>
      <c r="P26" s="12">
        <v>4</v>
      </c>
      <c r="Q26" s="13">
        <v>186</v>
      </c>
      <c r="R26" s="14"/>
      <c r="T26" s="11">
        <v>12</v>
      </c>
      <c r="U26" s="12">
        <v>5</v>
      </c>
      <c r="V26" s="13">
        <v>559</v>
      </c>
      <c r="X26" s="11">
        <v>12</v>
      </c>
      <c r="Y26" s="12">
        <v>6</v>
      </c>
      <c r="Z26" s="13">
        <v>874</v>
      </c>
      <c r="AA26" s="14"/>
      <c r="AC26" s="11">
        <v>12</v>
      </c>
      <c r="AD26" s="12">
        <v>7</v>
      </c>
      <c r="AE26" s="13">
        <v>826</v>
      </c>
      <c r="AG26" s="11">
        <v>12</v>
      </c>
      <c r="AH26" s="12">
        <v>8</v>
      </c>
      <c r="AI26" s="13">
        <v>365</v>
      </c>
      <c r="AJ26" s="14"/>
      <c r="AL26" s="11">
        <v>12</v>
      </c>
      <c r="AM26" s="12">
        <v>9</v>
      </c>
      <c r="AN26" s="13">
        <v>1323</v>
      </c>
      <c r="AP26" s="11">
        <v>12</v>
      </c>
      <c r="AQ26" s="12">
        <v>10</v>
      </c>
      <c r="AR26" s="13">
        <v>16132</v>
      </c>
    </row>
    <row r="27" spans="2:44" x14ac:dyDescent="0.3">
      <c r="B27" s="11">
        <v>13</v>
      </c>
      <c r="C27" s="12">
        <v>1</v>
      </c>
      <c r="D27" s="13">
        <v>47</v>
      </c>
      <c r="F27" s="11">
        <v>13</v>
      </c>
      <c r="G27" s="12">
        <v>2</v>
      </c>
      <c r="H27" s="13">
        <v>156</v>
      </c>
      <c r="I27" s="14"/>
      <c r="K27" s="11">
        <v>13</v>
      </c>
      <c r="L27" s="12">
        <v>3</v>
      </c>
      <c r="M27" s="13">
        <v>178</v>
      </c>
      <c r="O27" s="11">
        <v>13</v>
      </c>
      <c r="P27" s="12">
        <v>4</v>
      </c>
      <c r="Q27" s="13">
        <v>187</v>
      </c>
      <c r="R27" s="14"/>
      <c r="T27" s="11">
        <v>13</v>
      </c>
      <c r="U27" s="12">
        <v>5</v>
      </c>
      <c r="V27" s="13">
        <v>566</v>
      </c>
      <c r="X27" s="11">
        <v>13</v>
      </c>
      <c r="Y27" s="12">
        <v>6</v>
      </c>
      <c r="Z27" s="13">
        <v>882</v>
      </c>
      <c r="AA27" s="14"/>
      <c r="AC27" s="11">
        <v>13</v>
      </c>
      <c r="AD27" s="12">
        <v>7</v>
      </c>
      <c r="AE27" s="13">
        <v>836</v>
      </c>
      <c r="AG27" s="11">
        <v>13</v>
      </c>
      <c r="AH27" s="12">
        <v>8</v>
      </c>
      <c r="AI27" s="13">
        <v>369</v>
      </c>
      <c r="AJ27" s="14"/>
      <c r="AL27" s="11">
        <v>13</v>
      </c>
      <c r="AM27" s="12">
        <v>9</v>
      </c>
      <c r="AN27" s="13">
        <v>1334</v>
      </c>
      <c r="AP27" s="11">
        <v>13</v>
      </c>
      <c r="AQ27" s="12">
        <v>10</v>
      </c>
      <c r="AR27" s="13">
        <v>16153</v>
      </c>
    </row>
    <row r="28" spans="2:44" x14ac:dyDescent="0.3">
      <c r="B28" s="11">
        <v>14</v>
      </c>
      <c r="C28" s="12">
        <v>1</v>
      </c>
      <c r="D28" s="13">
        <v>47</v>
      </c>
      <c r="F28" s="11">
        <v>14</v>
      </c>
      <c r="G28" s="12">
        <v>2</v>
      </c>
      <c r="H28" s="13">
        <v>155</v>
      </c>
      <c r="I28" s="14"/>
      <c r="K28" s="11">
        <v>14</v>
      </c>
      <c r="L28" s="12">
        <v>3</v>
      </c>
      <c r="M28" s="13">
        <v>179</v>
      </c>
      <c r="O28" s="11">
        <v>14</v>
      </c>
      <c r="P28" s="12">
        <v>4</v>
      </c>
      <c r="Q28" s="13">
        <v>187</v>
      </c>
      <c r="R28" s="14"/>
      <c r="T28" s="11">
        <v>14</v>
      </c>
      <c r="U28" s="12">
        <v>5</v>
      </c>
      <c r="V28" s="13">
        <v>561</v>
      </c>
      <c r="X28" s="11">
        <v>14</v>
      </c>
      <c r="Y28" s="12">
        <v>6</v>
      </c>
      <c r="Z28" s="13">
        <v>877</v>
      </c>
      <c r="AA28" s="14"/>
      <c r="AC28" s="11">
        <v>14</v>
      </c>
      <c r="AD28" s="12">
        <v>7</v>
      </c>
      <c r="AE28" s="13">
        <v>831</v>
      </c>
      <c r="AG28" s="11">
        <v>14</v>
      </c>
      <c r="AH28" s="12">
        <v>8</v>
      </c>
      <c r="AI28" s="13">
        <v>368</v>
      </c>
      <c r="AJ28" s="14"/>
      <c r="AL28" s="11">
        <v>14</v>
      </c>
      <c r="AM28" s="12">
        <v>9</v>
      </c>
      <c r="AN28" s="13">
        <v>1314</v>
      </c>
      <c r="AP28" s="11">
        <v>14</v>
      </c>
      <c r="AQ28" s="12">
        <v>10</v>
      </c>
      <c r="AR28" s="13">
        <v>16094</v>
      </c>
    </row>
    <row r="29" spans="2:44" x14ac:dyDescent="0.3">
      <c r="B29" s="11">
        <v>15</v>
      </c>
      <c r="C29" s="12">
        <v>1</v>
      </c>
      <c r="D29" s="13">
        <v>47</v>
      </c>
      <c r="F29" s="11">
        <v>15</v>
      </c>
      <c r="G29" s="12">
        <v>2</v>
      </c>
      <c r="H29" s="13">
        <v>156</v>
      </c>
      <c r="I29" s="14"/>
      <c r="K29" s="11">
        <v>15</v>
      </c>
      <c r="L29" s="12">
        <v>3</v>
      </c>
      <c r="M29" s="13">
        <v>180</v>
      </c>
      <c r="O29" s="11">
        <v>15</v>
      </c>
      <c r="P29" s="12">
        <v>4</v>
      </c>
      <c r="Q29" s="13">
        <v>188</v>
      </c>
      <c r="R29" s="14"/>
      <c r="T29" s="11">
        <v>15</v>
      </c>
      <c r="U29" s="12">
        <v>5</v>
      </c>
      <c r="V29" s="13">
        <v>566</v>
      </c>
      <c r="X29" s="11">
        <v>15</v>
      </c>
      <c r="Y29" s="12">
        <v>6</v>
      </c>
      <c r="Z29" s="13">
        <v>884</v>
      </c>
      <c r="AA29" s="14"/>
      <c r="AC29" s="11">
        <v>15</v>
      </c>
      <c r="AD29" s="12">
        <v>7</v>
      </c>
      <c r="AE29" s="13">
        <v>838</v>
      </c>
      <c r="AG29" s="11">
        <v>15</v>
      </c>
      <c r="AH29" s="12">
        <v>8</v>
      </c>
      <c r="AI29" s="13">
        <v>371</v>
      </c>
      <c r="AJ29" s="14"/>
      <c r="AL29" s="11">
        <v>15</v>
      </c>
      <c r="AM29" s="12">
        <v>9</v>
      </c>
      <c r="AN29" s="13">
        <v>1323</v>
      </c>
      <c r="AP29" s="11">
        <v>15</v>
      </c>
      <c r="AQ29" s="12">
        <v>10</v>
      </c>
      <c r="AR29" s="13">
        <v>16121</v>
      </c>
    </row>
    <row r="30" spans="2:44" x14ac:dyDescent="0.3">
      <c r="B30" s="11">
        <v>16</v>
      </c>
      <c r="C30" s="12">
        <v>1</v>
      </c>
      <c r="D30" s="13">
        <v>35</v>
      </c>
      <c r="F30" s="11">
        <v>16</v>
      </c>
      <c r="G30" s="12">
        <v>2</v>
      </c>
      <c r="H30" s="13">
        <v>128</v>
      </c>
      <c r="I30" s="14"/>
      <c r="K30" s="11">
        <v>16</v>
      </c>
      <c r="L30" s="12">
        <v>3</v>
      </c>
      <c r="M30" s="13">
        <v>145</v>
      </c>
      <c r="O30" s="11">
        <v>16</v>
      </c>
      <c r="P30" s="12">
        <v>4</v>
      </c>
      <c r="Q30" s="13">
        <v>148</v>
      </c>
      <c r="R30" s="14"/>
      <c r="T30" s="11">
        <v>16</v>
      </c>
      <c r="U30" s="12">
        <v>5</v>
      </c>
      <c r="V30" s="13">
        <v>435</v>
      </c>
      <c r="X30" s="11">
        <v>16</v>
      </c>
      <c r="Y30" s="12">
        <v>6</v>
      </c>
      <c r="Z30" s="13">
        <v>660</v>
      </c>
      <c r="AA30" s="14"/>
      <c r="AC30" s="11">
        <v>16</v>
      </c>
      <c r="AD30" s="12">
        <v>7</v>
      </c>
      <c r="AE30" s="13">
        <v>604</v>
      </c>
      <c r="AG30" s="11">
        <v>16</v>
      </c>
      <c r="AH30" s="12">
        <v>8</v>
      </c>
      <c r="AI30" s="13">
        <v>257</v>
      </c>
      <c r="AJ30" s="14"/>
      <c r="AL30" s="11">
        <v>16</v>
      </c>
      <c r="AM30" s="12">
        <v>9</v>
      </c>
      <c r="AN30" s="13">
        <v>991</v>
      </c>
      <c r="AP30" s="11">
        <v>16</v>
      </c>
      <c r="AQ30" s="12">
        <v>10</v>
      </c>
      <c r="AR30" s="13">
        <v>7748</v>
      </c>
    </row>
    <row r="31" spans="2:44" x14ac:dyDescent="0.3">
      <c r="B31" s="11">
        <v>17</v>
      </c>
      <c r="C31" s="12">
        <v>1</v>
      </c>
      <c r="D31" s="13">
        <v>34</v>
      </c>
      <c r="F31" s="11">
        <v>17</v>
      </c>
      <c r="G31" s="12">
        <v>2</v>
      </c>
      <c r="H31" s="13">
        <v>125</v>
      </c>
      <c r="I31" s="14"/>
      <c r="K31" s="11">
        <v>17</v>
      </c>
      <c r="L31" s="12">
        <v>3</v>
      </c>
      <c r="M31" s="13">
        <v>142</v>
      </c>
      <c r="O31" s="11">
        <v>17</v>
      </c>
      <c r="P31" s="12">
        <v>4</v>
      </c>
      <c r="Q31" s="13">
        <v>145</v>
      </c>
      <c r="R31" s="14"/>
      <c r="T31" s="11">
        <v>17</v>
      </c>
      <c r="U31" s="12">
        <v>5</v>
      </c>
      <c r="V31" s="13">
        <v>425</v>
      </c>
      <c r="X31" s="11">
        <v>17</v>
      </c>
      <c r="Y31" s="12">
        <v>6</v>
      </c>
      <c r="Z31" s="13">
        <v>647</v>
      </c>
      <c r="AA31" s="14"/>
      <c r="AC31" s="11">
        <v>17</v>
      </c>
      <c r="AD31" s="12">
        <v>7</v>
      </c>
      <c r="AE31" s="13">
        <v>591</v>
      </c>
      <c r="AG31" s="11">
        <v>17</v>
      </c>
      <c r="AH31" s="12">
        <v>8</v>
      </c>
      <c r="AI31" s="13">
        <v>252</v>
      </c>
      <c r="AJ31" s="14"/>
      <c r="AL31" s="11">
        <v>17</v>
      </c>
      <c r="AM31" s="12">
        <v>9</v>
      </c>
      <c r="AN31" s="13">
        <v>971</v>
      </c>
      <c r="AP31" s="11">
        <v>17</v>
      </c>
      <c r="AQ31" s="12">
        <v>10</v>
      </c>
      <c r="AR31" s="13">
        <v>7645</v>
      </c>
    </row>
    <row r="32" spans="2:44" x14ac:dyDescent="0.3">
      <c r="B32" s="11">
        <v>18</v>
      </c>
      <c r="C32" s="12">
        <v>1</v>
      </c>
      <c r="D32" s="13">
        <v>34</v>
      </c>
      <c r="F32" s="11">
        <v>18</v>
      </c>
      <c r="G32" s="12">
        <v>2</v>
      </c>
      <c r="H32" s="13">
        <v>122</v>
      </c>
      <c r="I32" s="14"/>
      <c r="K32" s="11">
        <v>18</v>
      </c>
      <c r="L32" s="12">
        <v>3</v>
      </c>
      <c r="M32" s="13">
        <v>139</v>
      </c>
      <c r="O32" s="11">
        <v>18</v>
      </c>
      <c r="P32" s="12">
        <v>4</v>
      </c>
      <c r="Q32" s="13">
        <v>141</v>
      </c>
      <c r="R32" s="14"/>
      <c r="T32" s="11">
        <v>18</v>
      </c>
      <c r="U32" s="12">
        <v>5</v>
      </c>
      <c r="V32" s="13">
        <v>414</v>
      </c>
      <c r="X32" s="11">
        <v>18</v>
      </c>
      <c r="Y32" s="12">
        <v>6</v>
      </c>
      <c r="Z32" s="13">
        <v>630</v>
      </c>
      <c r="AA32" s="14"/>
      <c r="AC32" s="11">
        <v>18</v>
      </c>
      <c r="AD32" s="12">
        <v>7</v>
      </c>
      <c r="AE32" s="13">
        <v>577</v>
      </c>
      <c r="AG32" s="11">
        <v>18</v>
      </c>
      <c r="AH32" s="12">
        <v>8</v>
      </c>
      <c r="AI32" s="13">
        <v>247</v>
      </c>
      <c r="AJ32" s="14"/>
      <c r="AL32" s="11">
        <v>18</v>
      </c>
      <c r="AM32" s="12">
        <v>9</v>
      </c>
      <c r="AN32" s="13">
        <v>943</v>
      </c>
      <c r="AP32" s="11">
        <v>18</v>
      </c>
      <c r="AQ32" s="12">
        <v>10</v>
      </c>
      <c r="AR32" s="13">
        <v>7499</v>
      </c>
    </row>
    <row r="33" spans="2:44" x14ac:dyDescent="0.3">
      <c r="B33" s="11">
        <v>19</v>
      </c>
      <c r="C33" s="12">
        <v>1</v>
      </c>
      <c r="D33" s="13">
        <v>33</v>
      </c>
      <c r="F33" s="11">
        <v>19</v>
      </c>
      <c r="G33" s="12">
        <v>2</v>
      </c>
      <c r="H33" s="13">
        <v>118</v>
      </c>
      <c r="I33" s="14"/>
      <c r="K33" s="11">
        <v>19</v>
      </c>
      <c r="L33" s="12">
        <v>3</v>
      </c>
      <c r="M33" s="13">
        <v>136</v>
      </c>
      <c r="O33" s="11">
        <v>19</v>
      </c>
      <c r="P33" s="12">
        <v>4</v>
      </c>
      <c r="Q33" s="13">
        <v>137</v>
      </c>
      <c r="R33" s="14"/>
      <c r="T33" s="11">
        <v>19</v>
      </c>
      <c r="U33" s="12">
        <v>5</v>
      </c>
      <c r="V33" s="13">
        <v>402</v>
      </c>
      <c r="X33" s="11">
        <v>19</v>
      </c>
      <c r="Y33" s="12">
        <v>6</v>
      </c>
      <c r="Z33" s="13">
        <v>616</v>
      </c>
      <c r="AA33" s="14"/>
      <c r="AC33" s="11">
        <v>19</v>
      </c>
      <c r="AD33" s="12">
        <v>7</v>
      </c>
      <c r="AE33" s="13">
        <v>566</v>
      </c>
      <c r="AG33" s="11">
        <v>19</v>
      </c>
      <c r="AH33" s="12">
        <v>8</v>
      </c>
      <c r="AI33" s="13">
        <v>243</v>
      </c>
      <c r="AJ33" s="14"/>
      <c r="AL33" s="11">
        <v>19</v>
      </c>
      <c r="AM33" s="12">
        <v>9</v>
      </c>
      <c r="AN33" s="13">
        <v>913</v>
      </c>
      <c r="AP33" s="11">
        <v>19</v>
      </c>
      <c r="AQ33" s="12">
        <v>10</v>
      </c>
      <c r="AR33" s="13">
        <v>7521</v>
      </c>
    </row>
    <row r="34" spans="2:44" ht="15" thickBot="1" x14ac:dyDescent="0.35">
      <c r="B34" s="15">
        <v>20</v>
      </c>
      <c r="C34" s="16">
        <v>1</v>
      </c>
      <c r="D34" s="17">
        <v>34</v>
      </c>
      <c r="F34" s="15">
        <v>20</v>
      </c>
      <c r="G34" s="16">
        <v>2</v>
      </c>
      <c r="H34" s="17">
        <v>124</v>
      </c>
      <c r="I34" s="14"/>
      <c r="K34" s="15">
        <v>20</v>
      </c>
      <c r="L34" s="16">
        <v>3</v>
      </c>
      <c r="M34" s="17">
        <v>141</v>
      </c>
      <c r="O34" s="15">
        <v>20</v>
      </c>
      <c r="P34" s="16">
        <v>4</v>
      </c>
      <c r="Q34" s="17">
        <v>143</v>
      </c>
      <c r="R34" s="14"/>
      <c r="T34" s="15">
        <v>20</v>
      </c>
      <c r="U34" s="16">
        <v>5</v>
      </c>
      <c r="V34" s="17">
        <v>422</v>
      </c>
      <c r="X34" s="15">
        <v>20</v>
      </c>
      <c r="Y34" s="16">
        <v>6</v>
      </c>
      <c r="Z34" s="17">
        <v>641</v>
      </c>
      <c r="AA34" s="14"/>
      <c r="AC34" s="15">
        <v>20</v>
      </c>
      <c r="AD34" s="16">
        <v>7</v>
      </c>
      <c r="AE34" s="17">
        <v>587</v>
      </c>
      <c r="AG34" s="15">
        <v>20</v>
      </c>
      <c r="AH34" s="16">
        <v>8</v>
      </c>
      <c r="AI34" s="17">
        <v>250</v>
      </c>
      <c r="AJ34" s="14"/>
      <c r="AL34" s="15">
        <v>20</v>
      </c>
      <c r="AM34" s="16">
        <v>9</v>
      </c>
      <c r="AN34" s="17">
        <v>963</v>
      </c>
      <c r="AP34" s="15">
        <v>20</v>
      </c>
      <c r="AQ34" s="16">
        <v>10</v>
      </c>
      <c r="AR34" s="17">
        <v>7672</v>
      </c>
    </row>
    <row r="35" spans="2:44" x14ac:dyDescent="0.3">
      <c r="C35" s="2" t="s">
        <v>39</v>
      </c>
      <c r="D35" s="40">
        <f>AVERAGE(D15:D34)</f>
        <v>40.5</v>
      </c>
      <c r="G35" s="2" t="s">
        <v>39</v>
      </c>
      <c r="H35" s="40">
        <f>AVERAGE(H15:H34)</f>
        <v>135.80000000000001</v>
      </c>
      <c r="L35" s="2" t="s">
        <v>39</v>
      </c>
      <c r="M35" s="40">
        <f>AVERAGE(M15:M34)</f>
        <v>155.75</v>
      </c>
      <c r="P35" s="2" t="s">
        <v>39</v>
      </c>
      <c r="Q35" s="40">
        <f>AVERAGE(Q15:Q34)</f>
        <v>161.65</v>
      </c>
      <c r="U35" s="2" t="s">
        <v>39</v>
      </c>
      <c r="V35" s="40">
        <f>AVERAGE(V15:V34)</f>
        <v>484.95</v>
      </c>
      <c r="Y35" s="2" t="s">
        <v>39</v>
      </c>
      <c r="Z35" s="40">
        <f>AVERAGE(Z15:Z34)</f>
        <v>755.95</v>
      </c>
      <c r="AD35" s="2" t="s">
        <v>39</v>
      </c>
      <c r="AE35" s="40">
        <f>AVERAGE(AE15:AE34)</f>
        <v>714.65</v>
      </c>
      <c r="AH35" s="2" t="s">
        <v>39</v>
      </c>
      <c r="AI35" s="40">
        <f>AVERAGE(AI15:AI34)</f>
        <v>315.5</v>
      </c>
      <c r="AM35" s="2" t="s">
        <v>39</v>
      </c>
      <c r="AN35" s="40">
        <f>AVERAGE(AN15:AN34)</f>
        <v>1133.5999999999999</v>
      </c>
      <c r="AQ35" s="2" t="s">
        <v>39</v>
      </c>
      <c r="AR35" s="40">
        <f>AVERAGE(AR15:AR34)</f>
        <v>12917.15</v>
      </c>
    </row>
    <row r="36" spans="2:44" x14ac:dyDescent="0.3">
      <c r="C36" s="2" t="s">
        <v>41</v>
      </c>
      <c r="D36" s="1">
        <f>STDEV(D15:D34)</f>
        <v>4.8286426119235841</v>
      </c>
      <c r="G36" s="2" t="s">
        <v>41</v>
      </c>
      <c r="H36" s="1">
        <f>STDEV(H15:H34)</f>
        <v>12.450322337826821</v>
      </c>
      <c r="L36" s="2" t="s">
        <v>41</v>
      </c>
      <c r="M36" s="1">
        <f>STDEV(M15:M34)</f>
        <v>14.81064695271259</v>
      </c>
      <c r="P36" s="2" t="s">
        <v>41</v>
      </c>
      <c r="Q36" s="1">
        <f>STDEV(Q15:Q34)</f>
        <v>16.890592211736013</v>
      </c>
      <c r="U36" s="2" t="s">
        <v>41</v>
      </c>
      <c r="V36" s="1">
        <f>STDEV(V15:V34)</f>
        <v>53.758206227906406</v>
      </c>
      <c r="Y36" s="2" t="s">
        <v>41</v>
      </c>
      <c r="Z36" s="1">
        <f>STDEV(Z15:Z34)</f>
        <v>89.023636719338768</v>
      </c>
      <c r="AD36" s="2" t="s">
        <v>41</v>
      </c>
      <c r="AE36" s="1">
        <f>STDEV(AE15:AE34)</f>
        <v>91.397497950321309</v>
      </c>
      <c r="AH36" s="2" t="s">
        <v>41</v>
      </c>
      <c r="AI36" s="1">
        <f>STDEV(AI15:AI34)</f>
        <v>44.090218511831544</v>
      </c>
      <c r="AM36" s="2" t="s">
        <v>41</v>
      </c>
      <c r="AN36" s="1">
        <f>STDEV(AN15:AN34)</f>
        <v>135.59125883951461</v>
      </c>
      <c r="AQ36" s="2" t="s">
        <v>41</v>
      </c>
      <c r="AR36" s="1">
        <f>STDEV(AR15:AR34)</f>
        <v>3276.9776395331128</v>
      </c>
    </row>
    <row r="37" spans="2:44" x14ac:dyDescent="0.3">
      <c r="C37" s="2" t="s">
        <v>40</v>
      </c>
      <c r="D37" s="40">
        <f>MAX(D15:D34)-MIN(D15:D34)</f>
        <v>14</v>
      </c>
      <c r="G37" s="2" t="s">
        <v>40</v>
      </c>
      <c r="H37" s="40">
        <f>MAX(H15:H34)-MIN(H15:H34)</f>
        <v>38</v>
      </c>
      <c r="L37" s="2" t="s">
        <v>40</v>
      </c>
      <c r="M37" s="40">
        <f>MAX(M15:M34)-MIN(M15:M34)</f>
        <v>44</v>
      </c>
      <c r="P37" s="2" t="s">
        <v>40</v>
      </c>
      <c r="Q37" s="40">
        <f>MAX(Q15:Q34)-MIN(Q15:Q34)</f>
        <v>51</v>
      </c>
      <c r="U37" s="2" t="s">
        <v>40</v>
      </c>
      <c r="V37" s="40">
        <f>MAX(V15:V34)-MIN(V15:V34)</f>
        <v>164</v>
      </c>
      <c r="Y37" s="2" t="s">
        <v>40</v>
      </c>
      <c r="Z37" s="40">
        <f>MAX(Z15:Z34)-MIN(Z15:Z34)</f>
        <v>268</v>
      </c>
      <c r="AD37" s="2" t="s">
        <v>40</v>
      </c>
      <c r="AE37" s="40">
        <f>MAX(AE15:AE34)-MIN(AE15:AE34)</f>
        <v>272</v>
      </c>
      <c r="AH37" s="2" t="s">
        <v>40</v>
      </c>
      <c r="AI37" s="40">
        <f>MAX(AI15:AI34)-MIN(AI15:AI34)</f>
        <v>128</v>
      </c>
      <c r="AM37" s="2" t="s">
        <v>40</v>
      </c>
      <c r="AN37" s="40">
        <f>MAX(AN15:AN34)-MIN(AN15:AN34)</f>
        <v>421</v>
      </c>
      <c r="AQ37" s="2" t="s">
        <v>40</v>
      </c>
      <c r="AR37" s="40">
        <f>MAX(AR15:AR34)-MIN(AR15:AR34)</f>
        <v>8654</v>
      </c>
    </row>
  </sheetData>
  <mergeCells count="78">
    <mergeCell ref="N5:Q5"/>
    <mergeCell ref="N10:Q10"/>
    <mergeCell ref="K6:M6"/>
    <mergeCell ref="K7:M7"/>
    <mergeCell ref="N7:Q7"/>
    <mergeCell ref="N9:Q9"/>
    <mergeCell ref="B2:H2"/>
    <mergeCell ref="K2:Q2"/>
    <mergeCell ref="B3:D3"/>
    <mergeCell ref="N3:Q3"/>
    <mergeCell ref="K4:M4"/>
    <mergeCell ref="N4:Q4"/>
    <mergeCell ref="E11:H11"/>
    <mergeCell ref="B11:D11"/>
    <mergeCell ref="B10:D10"/>
    <mergeCell ref="B9:D9"/>
    <mergeCell ref="K3:M3"/>
    <mergeCell ref="B6:D6"/>
    <mergeCell ref="B7:D7"/>
    <mergeCell ref="B4:D4"/>
    <mergeCell ref="B5:D5"/>
    <mergeCell ref="K11:M11"/>
    <mergeCell ref="K9:M9"/>
    <mergeCell ref="K10:M10"/>
    <mergeCell ref="K5:M5"/>
    <mergeCell ref="N11:Q11"/>
    <mergeCell ref="T3:V3"/>
    <mergeCell ref="W3:Z3"/>
    <mergeCell ref="T4:V4"/>
    <mergeCell ref="W4:Z4"/>
    <mergeCell ref="T5:V5"/>
    <mergeCell ref="W5:Z5"/>
    <mergeCell ref="T6:V6"/>
    <mergeCell ref="N6:Q6"/>
    <mergeCell ref="W9:Z9"/>
    <mergeCell ref="T10:V10"/>
    <mergeCell ref="W10:Z10"/>
    <mergeCell ref="T11:V11"/>
    <mergeCell ref="W11:Z11"/>
    <mergeCell ref="W6:Z6"/>
    <mergeCell ref="T7:V7"/>
    <mergeCell ref="T9:V9"/>
    <mergeCell ref="AC2:AI2"/>
    <mergeCell ref="AC3:AE3"/>
    <mergeCell ref="AF3:AI3"/>
    <mergeCell ref="AC4:AE4"/>
    <mergeCell ref="AF4:AI4"/>
    <mergeCell ref="AC5:AE5"/>
    <mergeCell ref="AF5:AI5"/>
    <mergeCell ref="AC6:AE6"/>
    <mergeCell ref="AF6:AI6"/>
    <mergeCell ref="AC7:AE7"/>
    <mergeCell ref="AF7:AI7"/>
    <mergeCell ref="AC9:AE9"/>
    <mergeCell ref="AF9:AI9"/>
    <mergeCell ref="W7:Z7"/>
    <mergeCell ref="T2:Z2"/>
    <mergeCell ref="AC10:AE10"/>
    <mergeCell ref="AF10:AI10"/>
    <mergeCell ref="AC11:AE11"/>
    <mergeCell ref="AF11:AI11"/>
    <mergeCell ref="AL2:AR2"/>
    <mergeCell ref="AL3:AN3"/>
    <mergeCell ref="AO3:AR3"/>
    <mergeCell ref="AL4:AN4"/>
    <mergeCell ref="AO4:AR4"/>
    <mergeCell ref="AL5:AN5"/>
    <mergeCell ref="AO5:AR5"/>
    <mergeCell ref="AL6:AN6"/>
    <mergeCell ref="AO6:AR6"/>
    <mergeCell ref="AL7:AN7"/>
    <mergeCell ref="AO7:AR7"/>
    <mergeCell ref="AL9:AN9"/>
    <mergeCell ref="AO9:AR9"/>
    <mergeCell ref="AL10:AN10"/>
    <mergeCell ref="AO10:AR10"/>
    <mergeCell ref="AL11:AN11"/>
    <mergeCell ref="AO11:AR11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Electrico</vt:lpstr>
      <vt:lpstr>Optico</vt:lpstr>
    </vt:vector>
  </TitlesOfParts>
  <Company>Tecnológico de Monterrey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Familia Anza Cortés</dc:creator>
  <cp:lastModifiedBy>Jeremiah Abraham Cedeño Díaz</cp:lastModifiedBy>
  <cp:lastPrinted>2022-11-26T00:06:19Z</cp:lastPrinted>
  <dcterms:created xsi:type="dcterms:W3CDTF">2019-03-19T16:47:52Z</dcterms:created>
  <dcterms:modified xsi:type="dcterms:W3CDTF">2026-07-06T10:19:13Z</dcterms:modified>
</cp:coreProperties>
</file>